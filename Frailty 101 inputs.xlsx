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\NUS Dropbox\Ashish Kumar\Project - MOHT Frailty RFQs\17 - Frailty 101 Model\Model\"/>
    </mc:Choice>
  </mc:AlternateContent>
  <xr:revisionPtr revIDLastSave="0" documentId="13_ncr:1_{4CD33E08-B843-43AB-B72A-5D8D03BF2375}" xr6:coauthVersionLast="47" xr6:coauthVersionMax="47" xr10:uidLastSave="{00000000-0000-0000-0000-000000000000}"/>
  <bookViews>
    <workbookView xWindow="-98" yWindow="-98" windowWidth="19396" windowHeight="11475" firstSheet="1" activeTab="2" xr2:uid="{953F883D-AAC6-4755-8AE7-A1F219C82479}"/>
  </bookViews>
  <sheets>
    <sheet name="0. Notes" sheetId="12" r:id="rId1"/>
    <sheet name="1. Frailty_inputs_do_not_edit" sheetId="2" r:id="rId2"/>
    <sheet name="2. Time_series_do_not_edit" sheetId="14" r:id="rId3"/>
    <sheet name="2 Resident Population" sheetId="1" r:id="rId4"/>
    <sheet name="3. Frail population" sheetId="4" r:id="rId5"/>
    <sheet name="4. Frailty screening" sheetId="13" r:id="rId6"/>
    <sheet name="5a. Prevalence 1" sheetId="6" r:id="rId7"/>
    <sheet name="5b. Prevalence 2" sheetId="7" r:id="rId8"/>
    <sheet name="5c. Prevalence 3" sheetId="8" r:id="rId9"/>
    <sheet name="5d. Prevalence 4" sheetId="9" r:id="rId10"/>
    <sheet name="5e. Prevalence 5" sheetId="10" r:id="rId11"/>
    <sheet name="5f. Prevalence 6" sheetId="11" r:id="rId12"/>
    <sheet name="ohca_population_wide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2" l="1"/>
  <c r="A55" i="2"/>
  <c r="AZ3" i="11"/>
  <c r="BA3" i="11"/>
  <c r="BB3" i="11"/>
  <c r="BC3" i="11"/>
  <c r="BD3" i="11"/>
  <c r="BE3" i="11"/>
  <c r="BF3" i="11"/>
  <c r="BG3" i="11"/>
  <c r="BH3" i="11"/>
  <c r="BI3" i="11"/>
  <c r="AZ4" i="11"/>
  <c r="BA4" i="11"/>
  <c r="BB4" i="11"/>
  <c r="BC4" i="11"/>
  <c r="BD4" i="11"/>
  <c r="BE4" i="11"/>
  <c r="BF4" i="11"/>
  <c r="BG4" i="11"/>
  <c r="BH4" i="11"/>
  <c r="BI4" i="11"/>
  <c r="AZ5" i="11"/>
  <c r="BA5" i="11"/>
  <c r="BB5" i="11"/>
  <c r="BC5" i="11"/>
  <c r="BD5" i="11"/>
  <c r="BE5" i="11"/>
  <c r="BF5" i="11"/>
  <c r="BG5" i="11"/>
  <c r="BH5" i="11"/>
  <c r="BI5" i="11"/>
  <c r="AZ6" i="11"/>
  <c r="BA6" i="11"/>
  <c r="BB6" i="11"/>
  <c r="BC6" i="11"/>
  <c r="BD6" i="11"/>
  <c r="BE6" i="11"/>
  <c r="BF6" i="11"/>
  <c r="BG6" i="11"/>
  <c r="BH6" i="11"/>
  <c r="BI6" i="11"/>
  <c r="AZ7" i="11"/>
  <c r="BA7" i="11"/>
  <c r="BB7" i="11"/>
  <c r="BC7" i="11"/>
  <c r="BD7" i="11"/>
  <c r="BE7" i="11"/>
  <c r="BF7" i="11"/>
  <c r="BG7" i="11"/>
  <c r="BH7" i="11"/>
  <c r="BI7" i="11"/>
  <c r="AZ8" i="11"/>
  <c r="BA8" i="11"/>
  <c r="BB8" i="11"/>
  <c r="BC8" i="11"/>
  <c r="BD8" i="11"/>
  <c r="BE8" i="11"/>
  <c r="BF8" i="11"/>
  <c r="BG8" i="11"/>
  <c r="BH8" i="11"/>
  <c r="BI8" i="11"/>
  <c r="AZ9" i="11"/>
  <c r="BA9" i="11"/>
  <c r="BB9" i="11"/>
  <c r="BC9" i="11"/>
  <c r="BD9" i="11"/>
  <c r="BE9" i="11"/>
  <c r="BF9" i="11"/>
  <c r="BG9" i="11"/>
  <c r="BH9" i="11"/>
  <c r="BI9" i="11"/>
  <c r="AZ10" i="11"/>
  <c r="BA10" i="11"/>
  <c r="BB10" i="11"/>
  <c r="BC10" i="11"/>
  <c r="BD10" i="11"/>
  <c r="BE10" i="11"/>
  <c r="BF10" i="11"/>
  <c r="BG10" i="11"/>
  <c r="BH10" i="11"/>
  <c r="BI10" i="11"/>
  <c r="AZ11" i="11"/>
  <c r="BA11" i="11"/>
  <c r="BB11" i="11"/>
  <c r="BC11" i="11"/>
  <c r="BD11" i="11"/>
  <c r="BE11" i="11"/>
  <c r="BF11" i="11"/>
  <c r="BG11" i="11"/>
  <c r="BH11" i="11"/>
  <c r="BI11" i="11"/>
  <c r="AZ12" i="11"/>
  <c r="BA12" i="11"/>
  <c r="BB12" i="11"/>
  <c r="BC12" i="11"/>
  <c r="BD12" i="11"/>
  <c r="BE12" i="11"/>
  <c r="BF12" i="11"/>
  <c r="BG12" i="11"/>
  <c r="BH12" i="11"/>
  <c r="BI12" i="11"/>
  <c r="AZ13" i="11"/>
  <c r="BA13" i="11"/>
  <c r="BB13" i="11"/>
  <c r="BC13" i="11"/>
  <c r="BD13" i="11"/>
  <c r="BE13" i="11"/>
  <c r="BF13" i="11"/>
  <c r="BG13" i="11"/>
  <c r="BH13" i="11"/>
  <c r="BI13" i="11"/>
  <c r="AZ14" i="11"/>
  <c r="BA14" i="11"/>
  <c r="BB14" i="11"/>
  <c r="BC14" i="11"/>
  <c r="BD14" i="11"/>
  <c r="BE14" i="11"/>
  <c r="BF14" i="11"/>
  <c r="BG14" i="11"/>
  <c r="BH14" i="11"/>
  <c r="BI14" i="11"/>
  <c r="AZ15" i="11"/>
  <c r="BA15" i="11"/>
  <c r="BB15" i="11"/>
  <c r="BC15" i="11"/>
  <c r="BD15" i="11"/>
  <c r="BE15" i="11"/>
  <c r="BF15" i="11"/>
  <c r="BG15" i="11"/>
  <c r="BH15" i="11"/>
  <c r="BI15" i="11"/>
  <c r="AZ16" i="11"/>
  <c r="BA16" i="11"/>
  <c r="BB16" i="11"/>
  <c r="BC16" i="11"/>
  <c r="BD16" i="11"/>
  <c r="BE16" i="11"/>
  <c r="BF16" i="11"/>
  <c r="BG16" i="11"/>
  <c r="BH16" i="11"/>
  <c r="BI16" i="11"/>
  <c r="AZ17" i="11"/>
  <c r="BA17" i="11"/>
  <c r="BB17" i="11"/>
  <c r="BC17" i="11"/>
  <c r="BD17" i="11"/>
  <c r="BE17" i="11"/>
  <c r="BF17" i="11"/>
  <c r="BG17" i="11"/>
  <c r="BH17" i="11"/>
  <c r="BI17" i="11"/>
  <c r="BA2" i="11"/>
  <c r="BB2" i="11"/>
  <c r="BC2" i="11"/>
  <c r="BD2" i="11"/>
  <c r="BE2" i="11"/>
  <c r="BF2" i="11"/>
  <c r="BG2" i="11"/>
  <c r="BH2" i="11"/>
  <c r="BI2" i="11"/>
  <c r="AZ2" i="11"/>
  <c r="BB21" i="11"/>
  <c r="N28" i="1"/>
  <c r="N29" i="1" s="1"/>
  <c r="N30" i="1" s="1"/>
  <c r="N31" i="1" s="1"/>
  <c r="M28" i="1"/>
  <c r="M29" i="1" s="1"/>
  <c r="M30" i="1" s="1"/>
  <c r="M31" i="1" s="1"/>
  <c r="L28" i="1"/>
  <c r="L29" i="1" s="1"/>
  <c r="L30" i="1" s="1"/>
  <c r="L31" i="1" s="1"/>
  <c r="K28" i="1"/>
  <c r="K29" i="1" s="1"/>
  <c r="K30" i="1" s="1"/>
  <c r="K31" i="1" s="1"/>
  <c r="N27" i="1"/>
  <c r="M27" i="1"/>
  <c r="L27" i="1"/>
  <c r="K27" i="1"/>
  <c r="J27" i="1"/>
  <c r="J28" i="1" s="1"/>
  <c r="J29" i="1" s="1"/>
  <c r="J30" i="1" s="1"/>
  <c r="J31" i="1" s="1"/>
  <c r="I27" i="1"/>
  <c r="I28" i="1" s="1"/>
  <c r="I29" i="1" s="1"/>
  <c r="I30" i="1" s="1"/>
  <c r="I31" i="1" s="1"/>
  <c r="H27" i="1"/>
  <c r="H28" i="1" s="1"/>
  <c r="H29" i="1" s="1"/>
  <c r="H30" i="1" s="1"/>
  <c r="H31" i="1" s="1"/>
  <c r="G27" i="1"/>
  <c r="G28" i="1" s="1"/>
  <c r="G29" i="1" s="1"/>
  <c r="G30" i="1" s="1"/>
  <c r="G31" i="1" s="1"/>
  <c r="F27" i="1"/>
  <c r="F28" i="1" s="1"/>
  <c r="F29" i="1" s="1"/>
  <c r="F30" i="1" s="1"/>
  <c r="F31" i="1" s="1"/>
  <c r="E27" i="1"/>
  <c r="E28" i="1" s="1"/>
  <c r="E29" i="1" s="1"/>
  <c r="E30" i="1" s="1"/>
  <c r="E31" i="1" s="1"/>
  <c r="D27" i="1"/>
  <c r="D28" i="1" s="1"/>
  <c r="D29" i="1" s="1"/>
  <c r="D30" i="1" s="1"/>
  <c r="D31" i="1" s="1"/>
  <c r="C27" i="1"/>
  <c r="C28" i="1" s="1"/>
  <c r="C29" i="1" s="1"/>
  <c r="C30" i="1" s="1"/>
  <c r="C31" i="1" s="1"/>
  <c r="T26" i="1"/>
  <c r="T27" i="1" s="1"/>
  <c r="T28" i="1" s="1"/>
  <c r="T29" i="1" s="1"/>
  <c r="T30" i="1" s="1"/>
  <c r="T31" i="1" s="1"/>
  <c r="S26" i="1"/>
  <c r="S27" i="1" s="1"/>
  <c r="S28" i="1" s="1"/>
  <c r="S29" i="1" s="1"/>
  <c r="S30" i="1" s="1"/>
  <c r="S31" i="1" s="1"/>
  <c r="R26" i="1"/>
  <c r="R27" i="1" s="1"/>
  <c r="R28" i="1" s="1"/>
  <c r="R29" i="1" s="1"/>
  <c r="R30" i="1" s="1"/>
  <c r="R31" i="1" s="1"/>
  <c r="Q26" i="1"/>
  <c r="Q27" i="1" s="1"/>
  <c r="Q28" i="1" s="1"/>
  <c r="Q29" i="1" s="1"/>
  <c r="Q30" i="1" s="1"/>
  <c r="Q31" i="1" s="1"/>
  <c r="P26" i="1"/>
  <c r="P27" i="1" s="1"/>
  <c r="P28" i="1" s="1"/>
  <c r="P29" i="1" s="1"/>
  <c r="P30" i="1" s="1"/>
  <c r="P31" i="1" s="1"/>
  <c r="O26" i="1"/>
  <c r="O27" i="1" s="1"/>
  <c r="O28" i="1" s="1"/>
  <c r="O29" i="1" s="1"/>
  <c r="O30" i="1" s="1"/>
  <c r="O31" i="1" s="1"/>
  <c r="N26" i="1"/>
  <c r="M26" i="1"/>
  <c r="L26" i="1"/>
  <c r="K26" i="1"/>
  <c r="J26" i="1"/>
  <c r="I26" i="1"/>
  <c r="H26" i="1"/>
  <c r="G26" i="1"/>
  <c r="F26" i="1"/>
  <c r="E26" i="1"/>
  <c r="D26" i="1"/>
  <c r="C26" i="1"/>
  <c r="BA37" i="4" l="1"/>
  <c r="BA51" i="2" s="1"/>
  <c r="BA30" i="4"/>
  <c r="BA44" i="2" s="1"/>
  <c r="BA28" i="4"/>
  <c r="BA42" i="2" s="1"/>
  <c r="BA27" i="4"/>
  <c r="BA41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B3" i="2"/>
  <c r="B5" i="1"/>
  <c r="B4" i="1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05" i="16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" i="16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I2" i="14"/>
  <c r="AJ2" i="14"/>
  <c r="AK2" i="14"/>
  <c r="AL2" i="14"/>
  <c r="AM2" i="14"/>
  <c r="AN2" i="14"/>
  <c r="AO2" i="14"/>
  <c r="AP2" i="14"/>
  <c r="AP1" i="14"/>
  <c r="AP3" i="14"/>
  <c r="AP4" i="14"/>
  <c r="AK1" i="14"/>
  <c r="AL1" i="14"/>
  <c r="AM1" i="14"/>
  <c r="AN1" i="14"/>
  <c r="AO1" i="14"/>
  <c r="AK3" i="14"/>
  <c r="AL3" i="14"/>
  <c r="AM3" i="14"/>
  <c r="AN3" i="14"/>
  <c r="AO3" i="14"/>
  <c r="AK4" i="14"/>
  <c r="AL4" i="14"/>
  <c r="AM4" i="14"/>
  <c r="AN4" i="14"/>
  <c r="AO4" i="14"/>
  <c r="AC1" i="14"/>
  <c r="AD1" i="14"/>
  <c r="AE1" i="14"/>
  <c r="AF1" i="14"/>
  <c r="AG1" i="14"/>
  <c r="AH1" i="14"/>
  <c r="AI1" i="14"/>
  <c r="AJ1" i="14"/>
  <c r="AC3" i="14"/>
  <c r="AD3" i="14"/>
  <c r="AE3" i="14"/>
  <c r="AF3" i="14"/>
  <c r="AG3" i="14"/>
  <c r="AH3" i="14"/>
  <c r="AI3" i="14"/>
  <c r="AJ3" i="14"/>
  <c r="AC4" i="14"/>
  <c r="AD4" i="14"/>
  <c r="AE4" i="14"/>
  <c r="AF4" i="14"/>
  <c r="AG4" i="14"/>
  <c r="AH4" i="14"/>
  <c r="AI4" i="14"/>
  <c r="AJ4" i="14"/>
  <c r="B1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2" i="14"/>
  <c r="A3" i="14"/>
  <c r="A4" i="14"/>
  <c r="A1" i="14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A65" i="2"/>
  <c r="A66" i="2"/>
  <c r="A67" i="2"/>
  <c r="A64" i="2"/>
  <c r="B63" i="2"/>
  <c r="A63" i="2"/>
  <c r="B58" i="2"/>
  <c r="A58" i="2"/>
  <c r="B62" i="2"/>
  <c r="B59" i="2"/>
  <c r="B60" i="2"/>
  <c r="B61" i="2"/>
  <c r="A60" i="2"/>
  <c r="A61" i="2"/>
  <c r="A62" i="2"/>
  <c r="A59" i="2"/>
  <c r="B54" i="2"/>
  <c r="A57" i="2"/>
  <c r="B57" i="2"/>
  <c r="B56" i="2"/>
  <c r="A56" i="2"/>
  <c r="D24" i="4"/>
  <c r="D38" i="2" s="1"/>
  <c r="E24" i="4"/>
  <c r="E38" i="2" s="1"/>
  <c r="F24" i="4"/>
  <c r="F38" i="2" s="1"/>
  <c r="G24" i="4"/>
  <c r="G38" i="2" s="1"/>
  <c r="H24" i="4"/>
  <c r="H38" i="2" s="1"/>
  <c r="I24" i="4"/>
  <c r="I38" i="2" s="1"/>
  <c r="J24" i="4"/>
  <c r="J38" i="2" s="1"/>
  <c r="K24" i="4"/>
  <c r="K38" i="2" s="1"/>
  <c r="L24" i="4"/>
  <c r="L38" i="2" s="1"/>
  <c r="M24" i="4"/>
  <c r="M38" i="2" s="1"/>
  <c r="N24" i="4"/>
  <c r="N38" i="2" s="1"/>
  <c r="O24" i="4"/>
  <c r="O38" i="2" s="1"/>
  <c r="P24" i="4"/>
  <c r="P38" i="2" s="1"/>
  <c r="Q24" i="4"/>
  <c r="Q38" i="2" s="1"/>
  <c r="R24" i="4"/>
  <c r="R38" i="2" s="1"/>
  <c r="S24" i="4"/>
  <c r="S38" i="2" s="1"/>
  <c r="T24" i="4"/>
  <c r="T38" i="2" s="1"/>
  <c r="U24" i="4"/>
  <c r="U38" i="2" s="1"/>
  <c r="V24" i="4"/>
  <c r="V38" i="2" s="1"/>
  <c r="W24" i="4"/>
  <c r="W38" i="2" s="1"/>
  <c r="X24" i="4"/>
  <c r="X38" i="2" s="1"/>
  <c r="Y24" i="4"/>
  <c r="Y38" i="2" s="1"/>
  <c r="Z24" i="4"/>
  <c r="Z38" i="2" s="1"/>
  <c r="AA24" i="4"/>
  <c r="AA38" i="2" s="1"/>
  <c r="AB24" i="4"/>
  <c r="AB38" i="2" s="1"/>
  <c r="AC24" i="4"/>
  <c r="AC38" i="2" s="1"/>
  <c r="AD24" i="4"/>
  <c r="AD38" i="2" s="1"/>
  <c r="AE24" i="4"/>
  <c r="AE38" i="2" s="1"/>
  <c r="AF24" i="4"/>
  <c r="AF38" i="2" s="1"/>
  <c r="AG24" i="4"/>
  <c r="AG38" i="2" s="1"/>
  <c r="AH24" i="4"/>
  <c r="AH38" i="2" s="1"/>
  <c r="AI24" i="4"/>
  <c r="AI38" i="2" s="1"/>
  <c r="AJ24" i="4"/>
  <c r="AJ38" i="2" s="1"/>
  <c r="AK24" i="4"/>
  <c r="AK38" i="2" s="1"/>
  <c r="AL24" i="4"/>
  <c r="AL38" i="2" s="1"/>
  <c r="AM24" i="4"/>
  <c r="AM38" i="2" s="1"/>
  <c r="AN24" i="4"/>
  <c r="AN38" i="2" s="1"/>
  <c r="AO24" i="4"/>
  <c r="AO38" i="2" s="1"/>
  <c r="AP24" i="4"/>
  <c r="AP38" i="2" s="1"/>
  <c r="AQ24" i="4"/>
  <c r="AQ38" i="2" s="1"/>
  <c r="AR24" i="4"/>
  <c r="AR38" i="2" s="1"/>
  <c r="AS24" i="4"/>
  <c r="AS38" i="2" s="1"/>
  <c r="AT24" i="4"/>
  <c r="AT38" i="2" s="1"/>
  <c r="AU24" i="4"/>
  <c r="AU38" i="2" s="1"/>
  <c r="AV24" i="4"/>
  <c r="AV38" i="2" s="1"/>
  <c r="AW24" i="4"/>
  <c r="AW38" i="2" s="1"/>
  <c r="AX24" i="4"/>
  <c r="AX38" i="2" s="1"/>
  <c r="AY24" i="4"/>
  <c r="AY38" i="2" s="1"/>
  <c r="AZ24" i="4"/>
  <c r="AZ38" i="2" s="1"/>
  <c r="BA24" i="4"/>
  <c r="BA38" i="2" s="1"/>
  <c r="BB24" i="4"/>
  <c r="BB38" i="2" s="1"/>
  <c r="BC24" i="4"/>
  <c r="BC38" i="2" s="1"/>
  <c r="BD24" i="4"/>
  <c r="BD38" i="2" s="1"/>
  <c r="BE24" i="4"/>
  <c r="BE38" i="2" s="1"/>
  <c r="BF24" i="4"/>
  <c r="BF38" i="2" s="1"/>
  <c r="BG24" i="4"/>
  <c r="BG38" i="2" s="1"/>
  <c r="BH24" i="4"/>
  <c r="BH38" i="2" s="1"/>
  <c r="BI24" i="4"/>
  <c r="BI38" i="2" s="1"/>
  <c r="BJ24" i="4"/>
  <c r="BJ38" i="2" s="1"/>
  <c r="BK24" i="4"/>
  <c r="BK38" i="2" s="1"/>
  <c r="BL24" i="4"/>
  <c r="BL38" i="2" s="1"/>
  <c r="BM24" i="4"/>
  <c r="BM38" i="2" s="1"/>
  <c r="BN24" i="4"/>
  <c r="BN38" i="2" s="1"/>
  <c r="BO24" i="4"/>
  <c r="BO38" i="2" s="1"/>
  <c r="BP24" i="4"/>
  <c r="BP38" i="2" s="1"/>
  <c r="BQ24" i="4"/>
  <c r="BQ38" i="2" s="1"/>
  <c r="BR24" i="4"/>
  <c r="BR38" i="2" s="1"/>
  <c r="BS24" i="4"/>
  <c r="BS38" i="2" s="1"/>
  <c r="BT24" i="4"/>
  <c r="BT38" i="2" s="1"/>
  <c r="BU24" i="4"/>
  <c r="BU38" i="2" s="1"/>
  <c r="BV24" i="4"/>
  <c r="BV38" i="2" s="1"/>
  <c r="BW24" i="4"/>
  <c r="BW38" i="2" s="1"/>
  <c r="BX24" i="4"/>
  <c r="BX38" i="2" s="1"/>
  <c r="BY24" i="4"/>
  <c r="BY38" i="2" s="1"/>
  <c r="BZ24" i="4"/>
  <c r="BZ38" i="2" s="1"/>
  <c r="CA24" i="4"/>
  <c r="CA38" i="2" s="1"/>
  <c r="CB24" i="4"/>
  <c r="CB38" i="2" s="1"/>
  <c r="CC24" i="4"/>
  <c r="CC38" i="2" s="1"/>
  <c r="CD24" i="4"/>
  <c r="CD38" i="2" s="1"/>
  <c r="CE24" i="4"/>
  <c r="CE38" i="2" s="1"/>
  <c r="CF24" i="4"/>
  <c r="CF38" i="2" s="1"/>
  <c r="CG24" i="4"/>
  <c r="CG38" i="2" s="1"/>
  <c r="CH24" i="4"/>
  <c r="CH38" i="2" s="1"/>
  <c r="CI24" i="4"/>
  <c r="CI38" i="2" s="1"/>
  <c r="CJ24" i="4"/>
  <c r="CK24" i="4" s="1"/>
  <c r="D25" i="4"/>
  <c r="D39" i="2" s="1"/>
  <c r="E25" i="4"/>
  <c r="E39" i="2" s="1"/>
  <c r="F25" i="4"/>
  <c r="F39" i="2" s="1"/>
  <c r="G25" i="4"/>
  <c r="G39" i="2" s="1"/>
  <c r="H25" i="4"/>
  <c r="H39" i="2" s="1"/>
  <c r="I25" i="4"/>
  <c r="I39" i="2" s="1"/>
  <c r="J25" i="4"/>
  <c r="J39" i="2" s="1"/>
  <c r="K25" i="4"/>
  <c r="K39" i="2" s="1"/>
  <c r="L25" i="4"/>
  <c r="L39" i="2" s="1"/>
  <c r="M25" i="4"/>
  <c r="M39" i="2" s="1"/>
  <c r="N25" i="4"/>
  <c r="N39" i="2" s="1"/>
  <c r="O25" i="4"/>
  <c r="O39" i="2" s="1"/>
  <c r="P25" i="4"/>
  <c r="P39" i="2" s="1"/>
  <c r="Q25" i="4"/>
  <c r="Q39" i="2" s="1"/>
  <c r="R25" i="4"/>
  <c r="R39" i="2" s="1"/>
  <c r="S25" i="4"/>
  <c r="S39" i="2" s="1"/>
  <c r="T25" i="4"/>
  <c r="T39" i="2" s="1"/>
  <c r="U25" i="4"/>
  <c r="U39" i="2" s="1"/>
  <c r="V25" i="4"/>
  <c r="V39" i="2" s="1"/>
  <c r="W25" i="4"/>
  <c r="W39" i="2" s="1"/>
  <c r="X25" i="4"/>
  <c r="X39" i="2" s="1"/>
  <c r="Y25" i="4"/>
  <c r="Y39" i="2" s="1"/>
  <c r="Z25" i="4"/>
  <c r="Z39" i="2" s="1"/>
  <c r="AA25" i="4"/>
  <c r="AA39" i="2" s="1"/>
  <c r="AB25" i="4"/>
  <c r="AB39" i="2" s="1"/>
  <c r="AC25" i="4"/>
  <c r="AC39" i="2" s="1"/>
  <c r="AD25" i="4"/>
  <c r="AD39" i="2" s="1"/>
  <c r="AE25" i="4"/>
  <c r="AE39" i="2" s="1"/>
  <c r="AF25" i="4"/>
  <c r="AF39" i="2" s="1"/>
  <c r="AG25" i="4"/>
  <c r="AG39" i="2" s="1"/>
  <c r="AH25" i="4"/>
  <c r="AH39" i="2" s="1"/>
  <c r="AI25" i="4"/>
  <c r="AI39" i="2" s="1"/>
  <c r="AJ25" i="4"/>
  <c r="AJ39" i="2" s="1"/>
  <c r="AK25" i="4"/>
  <c r="AK39" i="2" s="1"/>
  <c r="AL25" i="4"/>
  <c r="AM25" i="4"/>
  <c r="AN25" i="4"/>
  <c r="AN39" i="2" s="1"/>
  <c r="AO25" i="4"/>
  <c r="AO39" i="2" s="1"/>
  <c r="AP25" i="4"/>
  <c r="AP39" i="2" s="1"/>
  <c r="AQ25" i="4"/>
  <c r="AQ39" i="2" s="1"/>
  <c r="AR25" i="4"/>
  <c r="AR39" i="2" s="1"/>
  <c r="AS25" i="4"/>
  <c r="AS39" i="2" s="1"/>
  <c r="AT25" i="4"/>
  <c r="AT39" i="2" s="1"/>
  <c r="AU25" i="4"/>
  <c r="AU39" i="2" s="1"/>
  <c r="AV25" i="4"/>
  <c r="AV39" i="2" s="1"/>
  <c r="AW25" i="4"/>
  <c r="AW39" i="2" s="1"/>
  <c r="AX25" i="4"/>
  <c r="AX39" i="2" s="1"/>
  <c r="AY25" i="4"/>
  <c r="AZ25" i="4"/>
  <c r="AZ39" i="2" s="1"/>
  <c r="BA25" i="4"/>
  <c r="BA39" i="2" s="1"/>
  <c r="BB25" i="4"/>
  <c r="BB39" i="2" s="1"/>
  <c r="BC25" i="4"/>
  <c r="BC39" i="2" s="1"/>
  <c r="BD25" i="4"/>
  <c r="BD39" i="2" s="1"/>
  <c r="BE25" i="4"/>
  <c r="BE39" i="2" s="1"/>
  <c r="BF25" i="4"/>
  <c r="BF39" i="2" s="1"/>
  <c r="BG25" i="4"/>
  <c r="BG39" i="2" s="1"/>
  <c r="BH25" i="4"/>
  <c r="BH39" i="2" s="1"/>
  <c r="BI25" i="4"/>
  <c r="BI39" i="2" s="1"/>
  <c r="BJ25" i="4"/>
  <c r="BJ39" i="2" s="1"/>
  <c r="BK25" i="4"/>
  <c r="BK39" i="2" s="1"/>
  <c r="BL25" i="4"/>
  <c r="BL39" i="2" s="1"/>
  <c r="BM25" i="4"/>
  <c r="BM39" i="2" s="1"/>
  <c r="BN25" i="4"/>
  <c r="BN39" i="2" s="1"/>
  <c r="BO25" i="4"/>
  <c r="BO39" i="2" s="1"/>
  <c r="BP25" i="4"/>
  <c r="BP39" i="2" s="1"/>
  <c r="BQ25" i="4"/>
  <c r="BQ39" i="2" s="1"/>
  <c r="BR25" i="4"/>
  <c r="BR39" i="2" s="1"/>
  <c r="BS25" i="4"/>
  <c r="BS39" i="2" s="1"/>
  <c r="BT25" i="4"/>
  <c r="BT39" i="2" s="1"/>
  <c r="BU25" i="4"/>
  <c r="BU39" i="2" s="1"/>
  <c r="BV25" i="4"/>
  <c r="BV39" i="2" s="1"/>
  <c r="BW25" i="4"/>
  <c r="BW39" i="2" s="1"/>
  <c r="BX25" i="4"/>
  <c r="BX39" i="2" s="1"/>
  <c r="BY25" i="4"/>
  <c r="BY39" i="2" s="1"/>
  <c r="BZ25" i="4"/>
  <c r="BZ39" i="2" s="1"/>
  <c r="CA25" i="4"/>
  <c r="CA39" i="2" s="1"/>
  <c r="CB25" i="4"/>
  <c r="CB39" i="2" s="1"/>
  <c r="CC25" i="4"/>
  <c r="CC39" i="2" s="1"/>
  <c r="CD25" i="4"/>
  <c r="CD39" i="2" s="1"/>
  <c r="CE25" i="4"/>
  <c r="CE39" i="2" s="1"/>
  <c r="CF25" i="4"/>
  <c r="CF39" i="2" s="1"/>
  <c r="CG25" i="4"/>
  <c r="CG39" i="2" s="1"/>
  <c r="CH25" i="4"/>
  <c r="CH39" i="2" s="1"/>
  <c r="CI25" i="4"/>
  <c r="CI39" i="2" s="1"/>
  <c r="CJ25" i="4"/>
  <c r="CJ39" i="2" s="1"/>
  <c r="D26" i="4"/>
  <c r="D40" i="2" s="1"/>
  <c r="E26" i="4"/>
  <c r="E40" i="2" s="1"/>
  <c r="F26" i="4"/>
  <c r="F40" i="2" s="1"/>
  <c r="G26" i="4"/>
  <c r="G40" i="2" s="1"/>
  <c r="H26" i="4"/>
  <c r="H40" i="2" s="1"/>
  <c r="I26" i="4"/>
  <c r="I40" i="2" s="1"/>
  <c r="J26" i="4"/>
  <c r="J40" i="2" s="1"/>
  <c r="K26" i="4"/>
  <c r="K40" i="2" s="1"/>
  <c r="L26" i="4"/>
  <c r="L40" i="2" s="1"/>
  <c r="M26" i="4"/>
  <c r="M40" i="2" s="1"/>
  <c r="N26" i="4"/>
  <c r="N40" i="2" s="1"/>
  <c r="O26" i="4"/>
  <c r="O40" i="2" s="1"/>
  <c r="P26" i="4"/>
  <c r="P40" i="2" s="1"/>
  <c r="Q26" i="4"/>
  <c r="Q40" i="2" s="1"/>
  <c r="R26" i="4"/>
  <c r="R40" i="2" s="1"/>
  <c r="S26" i="4"/>
  <c r="S40" i="2" s="1"/>
  <c r="T26" i="4"/>
  <c r="T40" i="2" s="1"/>
  <c r="U26" i="4"/>
  <c r="U40" i="2" s="1"/>
  <c r="V26" i="4"/>
  <c r="V40" i="2" s="1"/>
  <c r="W26" i="4"/>
  <c r="W40" i="2" s="1"/>
  <c r="X26" i="4"/>
  <c r="X40" i="2" s="1"/>
  <c r="Y26" i="4"/>
  <c r="Y40" i="2" s="1"/>
  <c r="Z26" i="4"/>
  <c r="Z40" i="2" s="1"/>
  <c r="AA26" i="4"/>
  <c r="AA40" i="2" s="1"/>
  <c r="AB26" i="4"/>
  <c r="AB40" i="2" s="1"/>
  <c r="AC26" i="4"/>
  <c r="AC40" i="2" s="1"/>
  <c r="AD26" i="4"/>
  <c r="AD40" i="2" s="1"/>
  <c r="AE26" i="4"/>
  <c r="AE40" i="2" s="1"/>
  <c r="AF26" i="4"/>
  <c r="AF40" i="2" s="1"/>
  <c r="AG26" i="4"/>
  <c r="AG40" i="2" s="1"/>
  <c r="AH26" i="4"/>
  <c r="AH40" i="2" s="1"/>
  <c r="AI26" i="4"/>
  <c r="AI40" i="2" s="1"/>
  <c r="AJ26" i="4"/>
  <c r="AJ40" i="2" s="1"/>
  <c r="AK26" i="4"/>
  <c r="AK40" i="2" s="1"/>
  <c r="AL26" i="4"/>
  <c r="AL40" i="2" s="1"/>
  <c r="AM26" i="4"/>
  <c r="AM40" i="2" s="1"/>
  <c r="AN26" i="4"/>
  <c r="AN40" i="2" s="1"/>
  <c r="AO26" i="4"/>
  <c r="AO40" i="2" s="1"/>
  <c r="AP26" i="4"/>
  <c r="AP40" i="2" s="1"/>
  <c r="AQ26" i="4"/>
  <c r="AQ40" i="2" s="1"/>
  <c r="AR26" i="4"/>
  <c r="AR40" i="2" s="1"/>
  <c r="AS26" i="4"/>
  <c r="AS40" i="2" s="1"/>
  <c r="AT26" i="4"/>
  <c r="AT40" i="2" s="1"/>
  <c r="AU26" i="4"/>
  <c r="AU40" i="2" s="1"/>
  <c r="AV26" i="4"/>
  <c r="AV40" i="2" s="1"/>
  <c r="AW26" i="4"/>
  <c r="AW40" i="2" s="1"/>
  <c r="AX26" i="4"/>
  <c r="AX40" i="2" s="1"/>
  <c r="AY26" i="4"/>
  <c r="AY40" i="2" s="1"/>
  <c r="AZ26" i="4"/>
  <c r="AZ40" i="2" s="1"/>
  <c r="BA26" i="4"/>
  <c r="BA40" i="2" s="1"/>
  <c r="BB26" i="4"/>
  <c r="BB40" i="2" s="1"/>
  <c r="BC26" i="4"/>
  <c r="BC40" i="2" s="1"/>
  <c r="BD26" i="4"/>
  <c r="BD40" i="2" s="1"/>
  <c r="BE26" i="4"/>
  <c r="BE40" i="2" s="1"/>
  <c r="BF26" i="4"/>
  <c r="BF40" i="2" s="1"/>
  <c r="BG26" i="4"/>
  <c r="BG40" i="2" s="1"/>
  <c r="BH26" i="4"/>
  <c r="BH40" i="2" s="1"/>
  <c r="BI26" i="4"/>
  <c r="BI40" i="2" s="1"/>
  <c r="BJ26" i="4"/>
  <c r="BK26" i="4"/>
  <c r="BL26" i="4"/>
  <c r="BL40" i="2" s="1"/>
  <c r="BM26" i="4"/>
  <c r="BM40" i="2" s="1"/>
  <c r="BN26" i="4"/>
  <c r="BN40" i="2" s="1"/>
  <c r="BO26" i="4"/>
  <c r="BO40" i="2" s="1"/>
  <c r="BP26" i="4"/>
  <c r="BP40" i="2" s="1"/>
  <c r="BQ26" i="4"/>
  <c r="BQ40" i="2" s="1"/>
  <c r="BR26" i="4"/>
  <c r="BR40" i="2" s="1"/>
  <c r="BS26" i="4"/>
  <c r="BS40" i="2" s="1"/>
  <c r="BT26" i="4"/>
  <c r="BT40" i="2" s="1"/>
  <c r="BU26" i="4"/>
  <c r="BU40" i="2" s="1"/>
  <c r="BV26" i="4"/>
  <c r="BV40" i="2" s="1"/>
  <c r="BW26" i="4"/>
  <c r="BW40" i="2" s="1"/>
  <c r="BX26" i="4"/>
  <c r="BX40" i="2" s="1"/>
  <c r="BY26" i="4"/>
  <c r="BY40" i="2" s="1"/>
  <c r="BZ26" i="4"/>
  <c r="BZ40" i="2" s="1"/>
  <c r="CA26" i="4"/>
  <c r="CA40" i="2" s="1"/>
  <c r="CB26" i="4"/>
  <c r="CB40" i="2" s="1"/>
  <c r="CC26" i="4"/>
  <c r="CC40" i="2" s="1"/>
  <c r="CD26" i="4"/>
  <c r="CD40" i="2" s="1"/>
  <c r="CE26" i="4"/>
  <c r="CE40" i="2" s="1"/>
  <c r="CF26" i="4"/>
  <c r="CF40" i="2" s="1"/>
  <c r="CG26" i="4"/>
  <c r="CG40" i="2" s="1"/>
  <c r="CH26" i="4"/>
  <c r="CH40" i="2" s="1"/>
  <c r="CI26" i="4"/>
  <c r="CI40" i="2" s="1"/>
  <c r="CJ26" i="4"/>
  <c r="CJ40" i="2" s="1"/>
  <c r="D27" i="4"/>
  <c r="D41" i="2" s="1"/>
  <c r="E27" i="4"/>
  <c r="E41" i="2" s="1"/>
  <c r="F27" i="4"/>
  <c r="F41" i="2" s="1"/>
  <c r="G27" i="4"/>
  <c r="G41" i="2" s="1"/>
  <c r="H27" i="4"/>
  <c r="H41" i="2" s="1"/>
  <c r="I27" i="4"/>
  <c r="I41" i="2" s="1"/>
  <c r="J27" i="4"/>
  <c r="J41" i="2" s="1"/>
  <c r="K27" i="4"/>
  <c r="L27" i="4"/>
  <c r="L41" i="2" s="1"/>
  <c r="M27" i="4"/>
  <c r="M41" i="2" s="1"/>
  <c r="N27" i="4"/>
  <c r="N41" i="2" s="1"/>
  <c r="O27" i="4"/>
  <c r="O41" i="2" s="1"/>
  <c r="P27" i="4"/>
  <c r="P41" i="2" s="1"/>
  <c r="Q27" i="4"/>
  <c r="Q41" i="2" s="1"/>
  <c r="R27" i="4"/>
  <c r="R41" i="2" s="1"/>
  <c r="S27" i="4"/>
  <c r="S41" i="2" s="1"/>
  <c r="T27" i="4"/>
  <c r="T41" i="2" s="1"/>
  <c r="U27" i="4"/>
  <c r="U41" i="2" s="1"/>
  <c r="V27" i="4"/>
  <c r="V41" i="2" s="1"/>
  <c r="W27" i="4"/>
  <c r="W41" i="2" s="1"/>
  <c r="X27" i="4"/>
  <c r="X41" i="2" s="1"/>
  <c r="Y27" i="4"/>
  <c r="Y41" i="2" s="1"/>
  <c r="Z27" i="4"/>
  <c r="Z41" i="2" s="1"/>
  <c r="AA27" i="4"/>
  <c r="AA41" i="2" s="1"/>
  <c r="AB27" i="4"/>
  <c r="AB41" i="2" s="1"/>
  <c r="AC27" i="4"/>
  <c r="AC41" i="2" s="1"/>
  <c r="AD27" i="4"/>
  <c r="AD41" i="2" s="1"/>
  <c r="AE27" i="4"/>
  <c r="AE41" i="2" s="1"/>
  <c r="AF27" i="4"/>
  <c r="AF41" i="2" s="1"/>
  <c r="AG27" i="4"/>
  <c r="AG41" i="2" s="1"/>
  <c r="AH27" i="4"/>
  <c r="AH41" i="2" s="1"/>
  <c r="AI27" i="4"/>
  <c r="AI41" i="2" s="1"/>
  <c r="AJ27" i="4"/>
  <c r="AJ41" i="2" s="1"/>
  <c r="AK27" i="4"/>
  <c r="AK41" i="2" s="1"/>
  <c r="AL27" i="4"/>
  <c r="AL41" i="2" s="1"/>
  <c r="AM27" i="4"/>
  <c r="AM41" i="2" s="1"/>
  <c r="AN27" i="4"/>
  <c r="AN41" i="2" s="1"/>
  <c r="AO27" i="4"/>
  <c r="AO41" i="2" s="1"/>
  <c r="AP27" i="4"/>
  <c r="AP41" i="2" s="1"/>
  <c r="AQ27" i="4"/>
  <c r="AQ41" i="2" s="1"/>
  <c r="AR27" i="4"/>
  <c r="AR41" i="2" s="1"/>
  <c r="AS27" i="4"/>
  <c r="AS41" i="2" s="1"/>
  <c r="AT27" i="4"/>
  <c r="AT41" i="2" s="1"/>
  <c r="AU27" i="4"/>
  <c r="AU41" i="2" s="1"/>
  <c r="AV27" i="4"/>
  <c r="AV41" i="2" s="1"/>
  <c r="AW27" i="4"/>
  <c r="AW41" i="2" s="1"/>
  <c r="AX27" i="4"/>
  <c r="AX41" i="2" s="1"/>
  <c r="AY27" i="4"/>
  <c r="AY41" i="2" s="1"/>
  <c r="AZ27" i="4"/>
  <c r="AZ41" i="2" s="1"/>
  <c r="BB27" i="4"/>
  <c r="BB41" i="2" s="1"/>
  <c r="BC27" i="4"/>
  <c r="BC41" i="2" s="1"/>
  <c r="BD27" i="4"/>
  <c r="BD41" i="2" s="1"/>
  <c r="BE27" i="4"/>
  <c r="BE41" i="2" s="1"/>
  <c r="BF27" i="4"/>
  <c r="BF41" i="2" s="1"/>
  <c r="BG27" i="4"/>
  <c r="BG41" i="2" s="1"/>
  <c r="BH27" i="4"/>
  <c r="BH41" i="2" s="1"/>
  <c r="BI27" i="4"/>
  <c r="BI41" i="2" s="1"/>
  <c r="BJ27" i="4"/>
  <c r="BJ41" i="2" s="1"/>
  <c r="BK27" i="4"/>
  <c r="BK41" i="2" s="1"/>
  <c r="BL27" i="4"/>
  <c r="BL41" i="2" s="1"/>
  <c r="BM27" i="4"/>
  <c r="BM41" i="2" s="1"/>
  <c r="BN27" i="4"/>
  <c r="BN41" i="2" s="1"/>
  <c r="BO27" i="4"/>
  <c r="BO41" i="2" s="1"/>
  <c r="BP27" i="4"/>
  <c r="BP41" i="2" s="1"/>
  <c r="BQ27" i="4"/>
  <c r="BQ41" i="2" s="1"/>
  <c r="BR27" i="4"/>
  <c r="BR41" i="2" s="1"/>
  <c r="BS27" i="4"/>
  <c r="BS41" i="2" s="1"/>
  <c r="BT27" i="4"/>
  <c r="BT41" i="2" s="1"/>
  <c r="BU27" i="4"/>
  <c r="BU41" i="2" s="1"/>
  <c r="BV27" i="4"/>
  <c r="BV41" i="2" s="1"/>
  <c r="BW27" i="4"/>
  <c r="BW41" i="2" s="1"/>
  <c r="BX27" i="4"/>
  <c r="BX41" i="2" s="1"/>
  <c r="BY27" i="4"/>
  <c r="BY41" i="2" s="1"/>
  <c r="BZ27" i="4"/>
  <c r="BZ41" i="2" s="1"/>
  <c r="CA27" i="4"/>
  <c r="CA41" i="2" s="1"/>
  <c r="CB27" i="4"/>
  <c r="CB41" i="2" s="1"/>
  <c r="CC27" i="4"/>
  <c r="CC41" i="2" s="1"/>
  <c r="CD27" i="4"/>
  <c r="CD41" i="2" s="1"/>
  <c r="CE27" i="4"/>
  <c r="CE41" i="2" s="1"/>
  <c r="CF27" i="4"/>
  <c r="CF41" i="2" s="1"/>
  <c r="CG27" i="4"/>
  <c r="CG41" i="2" s="1"/>
  <c r="CH27" i="4"/>
  <c r="CH41" i="2" s="1"/>
  <c r="CI27" i="4"/>
  <c r="CI41" i="2" s="1"/>
  <c r="CJ27" i="4"/>
  <c r="CK27" i="4" s="1"/>
  <c r="D28" i="4"/>
  <c r="D42" i="2" s="1"/>
  <c r="E28" i="4"/>
  <c r="E42" i="2" s="1"/>
  <c r="F28" i="4"/>
  <c r="F42" i="2" s="1"/>
  <c r="G28" i="4"/>
  <c r="G42" i="2" s="1"/>
  <c r="H28" i="4"/>
  <c r="H42" i="2" s="1"/>
  <c r="I28" i="4"/>
  <c r="I42" i="2" s="1"/>
  <c r="J28" i="4"/>
  <c r="J42" i="2" s="1"/>
  <c r="K28" i="4"/>
  <c r="K42" i="2" s="1"/>
  <c r="L28" i="4"/>
  <c r="L42" i="2" s="1"/>
  <c r="M28" i="4"/>
  <c r="M42" i="2" s="1"/>
  <c r="N28" i="4"/>
  <c r="N42" i="2" s="1"/>
  <c r="O28" i="4"/>
  <c r="O42" i="2" s="1"/>
  <c r="P28" i="4"/>
  <c r="P42" i="2" s="1"/>
  <c r="Q28" i="4"/>
  <c r="Q42" i="2" s="1"/>
  <c r="R28" i="4"/>
  <c r="R42" i="2" s="1"/>
  <c r="S28" i="4"/>
  <c r="S42" i="2" s="1"/>
  <c r="T28" i="4"/>
  <c r="T42" i="2" s="1"/>
  <c r="U28" i="4"/>
  <c r="V28" i="4"/>
  <c r="V42" i="2" s="1"/>
  <c r="W28" i="4"/>
  <c r="W42" i="2" s="1"/>
  <c r="X28" i="4"/>
  <c r="X42" i="2" s="1"/>
  <c r="Y28" i="4"/>
  <c r="Y42" i="2" s="1"/>
  <c r="Z28" i="4"/>
  <c r="Z42" i="2" s="1"/>
  <c r="AA28" i="4"/>
  <c r="AA42" i="2" s="1"/>
  <c r="AB28" i="4"/>
  <c r="AB42" i="2" s="1"/>
  <c r="AC28" i="4"/>
  <c r="AC42" i="2" s="1"/>
  <c r="AD28" i="4"/>
  <c r="AD42" i="2" s="1"/>
  <c r="AE28" i="4"/>
  <c r="AE42" i="2" s="1"/>
  <c r="AF28" i="4"/>
  <c r="AF42" i="2" s="1"/>
  <c r="AG28" i="4"/>
  <c r="AG42" i="2" s="1"/>
  <c r="AH28" i="4"/>
  <c r="AH42" i="2" s="1"/>
  <c r="AI28" i="4"/>
  <c r="AI42" i="2" s="1"/>
  <c r="AJ28" i="4"/>
  <c r="AJ42" i="2" s="1"/>
  <c r="AK28" i="4"/>
  <c r="AK42" i="2" s="1"/>
  <c r="AL28" i="4"/>
  <c r="AL42" i="2" s="1"/>
  <c r="AM28" i="4"/>
  <c r="AM42" i="2" s="1"/>
  <c r="AN28" i="4"/>
  <c r="AN42" i="2" s="1"/>
  <c r="AO28" i="4"/>
  <c r="AO42" i="2" s="1"/>
  <c r="AP28" i="4"/>
  <c r="AP42" i="2" s="1"/>
  <c r="AQ28" i="4"/>
  <c r="AQ42" i="2" s="1"/>
  <c r="AR28" i="4"/>
  <c r="AR42" i="2" s="1"/>
  <c r="AS28" i="4"/>
  <c r="AS42" i="2" s="1"/>
  <c r="AT28" i="4"/>
  <c r="AT42" i="2" s="1"/>
  <c r="AU28" i="4"/>
  <c r="AU42" i="2" s="1"/>
  <c r="AV28" i="4"/>
  <c r="AV42" i="2" s="1"/>
  <c r="AW28" i="4"/>
  <c r="AW42" i="2" s="1"/>
  <c r="AX28" i="4"/>
  <c r="AX42" i="2" s="1"/>
  <c r="AY28" i="4"/>
  <c r="AY42" i="2" s="1"/>
  <c r="AZ28" i="4"/>
  <c r="AZ42" i="2" s="1"/>
  <c r="BB28" i="4"/>
  <c r="BB42" i="2" s="1"/>
  <c r="BC28" i="4"/>
  <c r="BC42" i="2" s="1"/>
  <c r="BD28" i="4"/>
  <c r="BD42" i="2" s="1"/>
  <c r="BE28" i="4"/>
  <c r="BE42" i="2" s="1"/>
  <c r="BF28" i="4"/>
  <c r="BF42" i="2" s="1"/>
  <c r="BG28" i="4"/>
  <c r="BG42" i="2" s="1"/>
  <c r="BH28" i="4"/>
  <c r="BH42" i="2" s="1"/>
  <c r="BI28" i="4"/>
  <c r="BI42" i="2" s="1"/>
  <c r="BJ28" i="4"/>
  <c r="BJ42" i="2" s="1"/>
  <c r="BK28" i="4"/>
  <c r="BK42" i="2" s="1"/>
  <c r="BL28" i="4"/>
  <c r="BL42" i="2" s="1"/>
  <c r="BM28" i="4"/>
  <c r="BM42" i="2" s="1"/>
  <c r="BN28" i="4"/>
  <c r="BN42" i="2" s="1"/>
  <c r="BO28" i="4"/>
  <c r="BO42" i="2" s="1"/>
  <c r="BP28" i="4"/>
  <c r="BP42" i="2" s="1"/>
  <c r="BQ28" i="4"/>
  <c r="BQ42" i="2" s="1"/>
  <c r="BR28" i="4"/>
  <c r="BR42" i="2" s="1"/>
  <c r="BS28" i="4"/>
  <c r="BS42" i="2" s="1"/>
  <c r="BT28" i="4"/>
  <c r="BT42" i="2" s="1"/>
  <c r="BU28" i="4"/>
  <c r="BU42" i="2" s="1"/>
  <c r="BV28" i="4"/>
  <c r="BV42" i="2" s="1"/>
  <c r="BW28" i="4"/>
  <c r="BW42" i="2" s="1"/>
  <c r="BX28" i="4"/>
  <c r="BX42" i="2" s="1"/>
  <c r="BY28" i="4"/>
  <c r="BY42" i="2" s="1"/>
  <c r="BZ28" i="4"/>
  <c r="BZ42" i="2" s="1"/>
  <c r="CA28" i="4"/>
  <c r="CA42" i="2" s="1"/>
  <c r="CB28" i="4"/>
  <c r="CB42" i="2" s="1"/>
  <c r="CC28" i="4"/>
  <c r="CC42" i="2" s="1"/>
  <c r="CD28" i="4"/>
  <c r="CD42" i="2" s="1"/>
  <c r="CE28" i="4"/>
  <c r="CE42" i="2" s="1"/>
  <c r="CF28" i="4"/>
  <c r="CF42" i="2" s="1"/>
  <c r="CG28" i="4"/>
  <c r="CG42" i="2" s="1"/>
  <c r="CH28" i="4"/>
  <c r="CH42" i="2" s="1"/>
  <c r="CI28" i="4"/>
  <c r="CI42" i="2" s="1"/>
  <c r="CJ28" i="4"/>
  <c r="CK28" i="4" s="1"/>
  <c r="D29" i="4"/>
  <c r="D43" i="2" s="1"/>
  <c r="E29" i="4"/>
  <c r="E43" i="2" s="1"/>
  <c r="F29" i="4"/>
  <c r="F43" i="2" s="1"/>
  <c r="G29" i="4"/>
  <c r="G43" i="2" s="1"/>
  <c r="H29" i="4"/>
  <c r="H43" i="2" s="1"/>
  <c r="I29" i="4"/>
  <c r="I43" i="2" s="1"/>
  <c r="J29" i="4"/>
  <c r="J43" i="2" s="1"/>
  <c r="K29" i="4"/>
  <c r="K43" i="2" s="1"/>
  <c r="L29" i="4"/>
  <c r="L43" i="2" s="1"/>
  <c r="M29" i="4"/>
  <c r="M43" i="2" s="1"/>
  <c r="N29" i="4"/>
  <c r="N43" i="2" s="1"/>
  <c r="O29" i="4"/>
  <c r="O43" i="2" s="1"/>
  <c r="P29" i="4"/>
  <c r="P43" i="2" s="1"/>
  <c r="Q29" i="4"/>
  <c r="Q43" i="2" s="1"/>
  <c r="R29" i="4"/>
  <c r="R43" i="2" s="1"/>
  <c r="S29" i="4"/>
  <c r="S43" i="2" s="1"/>
  <c r="T29" i="4"/>
  <c r="T43" i="2" s="1"/>
  <c r="U29" i="4"/>
  <c r="U43" i="2" s="1"/>
  <c r="V29" i="4"/>
  <c r="V43" i="2" s="1"/>
  <c r="W29" i="4"/>
  <c r="W43" i="2" s="1"/>
  <c r="X29" i="4"/>
  <c r="X43" i="2" s="1"/>
  <c r="Y29" i="4"/>
  <c r="Y43" i="2" s="1"/>
  <c r="Z29" i="4"/>
  <c r="Z43" i="2" s="1"/>
  <c r="AA29" i="4"/>
  <c r="AA43" i="2" s="1"/>
  <c r="AB29" i="4"/>
  <c r="AB43" i="2" s="1"/>
  <c r="AC29" i="4"/>
  <c r="AC43" i="2" s="1"/>
  <c r="AD29" i="4"/>
  <c r="AD43" i="2" s="1"/>
  <c r="AE29" i="4"/>
  <c r="AE43" i="2" s="1"/>
  <c r="AF29" i="4"/>
  <c r="AF43" i="2" s="1"/>
  <c r="AG29" i="4"/>
  <c r="AG43" i="2" s="1"/>
  <c r="AH29" i="4"/>
  <c r="AH43" i="2" s="1"/>
  <c r="AI29" i="4"/>
  <c r="AI43" i="2" s="1"/>
  <c r="AJ29" i="4"/>
  <c r="AJ43" i="2" s="1"/>
  <c r="AK29" i="4"/>
  <c r="AK43" i="2" s="1"/>
  <c r="AL29" i="4"/>
  <c r="AL43" i="2" s="1"/>
  <c r="AM29" i="4"/>
  <c r="AM43" i="2" s="1"/>
  <c r="AN29" i="4"/>
  <c r="AN43" i="2" s="1"/>
  <c r="AO29" i="4"/>
  <c r="AO43" i="2" s="1"/>
  <c r="AP29" i="4"/>
  <c r="AP43" i="2" s="1"/>
  <c r="AQ29" i="4"/>
  <c r="AQ43" i="2" s="1"/>
  <c r="AR29" i="4"/>
  <c r="AR43" i="2" s="1"/>
  <c r="AS29" i="4"/>
  <c r="AS43" i="2" s="1"/>
  <c r="AT29" i="4"/>
  <c r="AT43" i="2" s="1"/>
  <c r="AU29" i="4"/>
  <c r="AU43" i="2" s="1"/>
  <c r="AV29" i="4"/>
  <c r="AV43" i="2" s="1"/>
  <c r="AW29" i="4"/>
  <c r="AW43" i="2" s="1"/>
  <c r="AX29" i="4"/>
  <c r="AX43" i="2" s="1"/>
  <c r="AY29" i="4"/>
  <c r="AY43" i="2" s="1"/>
  <c r="AZ29" i="4"/>
  <c r="AZ43" i="2" s="1"/>
  <c r="BA29" i="4"/>
  <c r="BA43" i="2" s="1"/>
  <c r="BB29" i="4"/>
  <c r="BB43" i="2" s="1"/>
  <c r="BC29" i="4"/>
  <c r="BC43" i="2" s="1"/>
  <c r="BD29" i="4"/>
  <c r="BD43" i="2" s="1"/>
  <c r="BE29" i="4"/>
  <c r="BE43" i="2" s="1"/>
  <c r="BF29" i="4"/>
  <c r="BF43" i="2" s="1"/>
  <c r="BG29" i="4"/>
  <c r="BG43" i="2" s="1"/>
  <c r="BH29" i="4"/>
  <c r="BH43" i="2" s="1"/>
  <c r="BI29" i="4"/>
  <c r="BI43" i="2" s="1"/>
  <c r="BJ29" i="4"/>
  <c r="BK29" i="4"/>
  <c r="BK43" i="2" s="1"/>
  <c r="BL29" i="4"/>
  <c r="BL43" i="2" s="1"/>
  <c r="BM29" i="4"/>
  <c r="BM43" i="2" s="1"/>
  <c r="BN29" i="4"/>
  <c r="BN43" i="2" s="1"/>
  <c r="BO29" i="4"/>
  <c r="BO43" i="2" s="1"/>
  <c r="BP29" i="4"/>
  <c r="BP43" i="2" s="1"/>
  <c r="BQ29" i="4"/>
  <c r="BQ43" i="2" s="1"/>
  <c r="BR29" i="4"/>
  <c r="BR43" i="2" s="1"/>
  <c r="BS29" i="4"/>
  <c r="BS43" i="2" s="1"/>
  <c r="BT29" i="4"/>
  <c r="BT43" i="2" s="1"/>
  <c r="BU29" i="4"/>
  <c r="BU43" i="2" s="1"/>
  <c r="BV29" i="4"/>
  <c r="BV43" i="2" s="1"/>
  <c r="BW29" i="4"/>
  <c r="BW43" i="2" s="1"/>
  <c r="BX29" i="4"/>
  <c r="BX43" i="2" s="1"/>
  <c r="BY29" i="4"/>
  <c r="BY43" i="2" s="1"/>
  <c r="BZ29" i="4"/>
  <c r="BZ43" i="2" s="1"/>
  <c r="CA29" i="4"/>
  <c r="CA43" i="2" s="1"/>
  <c r="CB29" i="4"/>
  <c r="CB43" i="2" s="1"/>
  <c r="CC29" i="4"/>
  <c r="CC43" i="2" s="1"/>
  <c r="CD29" i="4"/>
  <c r="CD43" i="2" s="1"/>
  <c r="CE29" i="4"/>
  <c r="CE43" i="2" s="1"/>
  <c r="CF29" i="4"/>
  <c r="CF43" i="2" s="1"/>
  <c r="CG29" i="4"/>
  <c r="CG43" i="2" s="1"/>
  <c r="CH29" i="4"/>
  <c r="CH43" i="2" s="1"/>
  <c r="CI29" i="4"/>
  <c r="CI43" i="2" s="1"/>
  <c r="CJ29" i="4"/>
  <c r="CJ43" i="2" s="1"/>
  <c r="D30" i="4"/>
  <c r="D44" i="2" s="1"/>
  <c r="E30" i="4"/>
  <c r="E44" i="2" s="1"/>
  <c r="F30" i="4"/>
  <c r="F44" i="2" s="1"/>
  <c r="G30" i="4"/>
  <c r="G44" i="2" s="1"/>
  <c r="H30" i="4"/>
  <c r="H44" i="2" s="1"/>
  <c r="I30" i="4"/>
  <c r="I44" i="2" s="1"/>
  <c r="J30" i="4"/>
  <c r="K30" i="4"/>
  <c r="K44" i="2" s="1"/>
  <c r="L30" i="4"/>
  <c r="L44" i="2" s="1"/>
  <c r="M30" i="4"/>
  <c r="M44" i="2" s="1"/>
  <c r="N30" i="4"/>
  <c r="N44" i="2" s="1"/>
  <c r="O30" i="4"/>
  <c r="O44" i="2" s="1"/>
  <c r="P30" i="4"/>
  <c r="P44" i="2" s="1"/>
  <c r="Q30" i="4"/>
  <c r="Q44" i="2" s="1"/>
  <c r="R30" i="4"/>
  <c r="R44" i="2" s="1"/>
  <c r="S30" i="4"/>
  <c r="S44" i="2" s="1"/>
  <c r="T30" i="4"/>
  <c r="T44" i="2" s="1"/>
  <c r="U30" i="4"/>
  <c r="U44" i="2" s="1"/>
  <c r="V30" i="4"/>
  <c r="V44" i="2" s="1"/>
  <c r="W30" i="4"/>
  <c r="W44" i="2" s="1"/>
  <c r="X30" i="4"/>
  <c r="X44" i="2" s="1"/>
  <c r="Y30" i="4"/>
  <c r="Y44" i="2" s="1"/>
  <c r="Z30" i="4"/>
  <c r="Z44" i="2" s="1"/>
  <c r="AA30" i="4"/>
  <c r="AA44" i="2" s="1"/>
  <c r="AB30" i="4"/>
  <c r="AB44" i="2" s="1"/>
  <c r="AC30" i="4"/>
  <c r="AC44" i="2" s="1"/>
  <c r="AD30" i="4"/>
  <c r="AD44" i="2" s="1"/>
  <c r="AE30" i="4"/>
  <c r="AE44" i="2" s="1"/>
  <c r="AF30" i="4"/>
  <c r="AF44" i="2" s="1"/>
  <c r="AG30" i="4"/>
  <c r="AG44" i="2" s="1"/>
  <c r="AH30" i="4"/>
  <c r="AH44" i="2" s="1"/>
  <c r="AI30" i="4"/>
  <c r="AI44" i="2" s="1"/>
  <c r="AJ30" i="4"/>
  <c r="AJ44" i="2" s="1"/>
  <c r="AK30" i="4"/>
  <c r="AK44" i="2" s="1"/>
  <c r="AL30" i="4"/>
  <c r="AL44" i="2" s="1"/>
  <c r="AM30" i="4"/>
  <c r="AM44" i="2" s="1"/>
  <c r="AN30" i="4"/>
  <c r="AN44" i="2" s="1"/>
  <c r="AO30" i="4"/>
  <c r="AO44" i="2" s="1"/>
  <c r="AP30" i="4"/>
  <c r="AP44" i="2" s="1"/>
  <c r="AQ30" i="4"/>
  <c r="AQ44" i="2" s="1"/>
  <c r="AR30" i="4"/>
  <c r="AR44" i="2" s="1"/>
  <c r="AS30" i="4"/>
  <c r="AS44" i="2" s="1"/>
  <c r="AT30" i="4"/>
  <c r="AT44" i="2" s="1"/>
  <c r="AU30" i="4"/>
  <c r="AU44" i="2" s="1"/>
  <c r="AV30" i="4"/>
  <c r="AV44" i="2" s="1"/>
  <c r="AW30" i="4"/>
  <c r="AW44" i="2" s="1"/>
  <c r="AX30" i="4"/>
  <c r="AX44" i="2" s="1"/>
  <c r="AY30" i="4"/>
  <c r="AY44" i="2" s="1"/>
  <c r="AZ30" i="4"/>
  <c r="AZ44" i="2" s="1"/>
  <c r="BB30" i="4"/>
  <c r="BB44" i="2" s="1"/>
  <c r="BC30" i="4"/>
  <c r="BC44" i="2" s="1"/>
  <c r="BD30" i="4"/>
  <c r="BD44" i="2" s="1"/>
  <c r="BE30" i="4"/>
  <c r="BE44" i="2" s="1"/>
  <c r="BF30" i="4"/>
  <c r="BF44" i="2" s="1"/>
  <c r="BG30" i="4"/>
  <c r="BG44" i="2" s="1"/>
  <c r="BH30" i="4"/>
  <c r="BH44" i="2" s="1"/>
  <c r="BI30" i="4"/>
  <c r="BI44" i="2" s="1"/>
  <c r="BJ30" i="4"/>
  <c r="BJ44" i="2" s="1"/>
  <c r="BK30" i="4"/>
  <c r="BK44" i="2" s="1"/>
  <c r="BL30" i="4"/>
  <c r="BL44" i="2" s="1"/>
  <c r="BM30" i="4"/>
  <c r="BM44" i="2" s="1"/>
  <c r="BN30" i="4"/>
  <c r="BN44" i="2" s="1"/>
  <c r="BO30" i="4"/>
  <c r="BO44" i="2" s="1"/>
  <c r="BP30" i="4"/>
  <c r="BP44" i="2" s="1"/>
  <c r="BQ30" i="4"/>
  <c r="BQ44" i="2" s="1"/>
  <c r="BR30" i="4"/>
  <c r="BR44" i="2" s="1"/>
  <c r="BS30" i="4"/>
  <c r="BS44" i="2" s="1"/>
  <c r="BT30" i="4"/>
  <c r="BT44" i="2" s="1"/>
  <c r="BU30" i="4"/>
  <c r="BU44" i="2" s="1"/>
  <c r="BV30" i="4"/>
  <c r="BV44" i="2" s="1"/>
  <c r="BW30" i="4"/>
  <c r="BW44" i="2" s="1"/>
  <c r="BX30" i="4"/>
  <c r="BX44" i="2" s="1"/>
  <c r="BY30" i="4"/>
  <c r="BY44" i="2" s="1"/>
  <c r="BZ30" i="4"/>
  <c r="BZ44" i="2" s="1"/>
  <c r="CA30" i="4"/>
  <c r="CA44" i="2" s="1"/>
  <c r="CB30" i="4"/>
  <c r="CB44" i="2" s="1"/>
  <c r="CC30" i="4"/>
  <c r="CC44" i="2" s="1"/>
  <c r="CD30" i="4"/>
  <c r="CD44" i="2" s="1"/>
  <c r="CE30" i="4"/>
  <c r="CE44" i="2" s="1"/>
  <c r="CF30" i="4"/>
  <c r="CF44" i="2" s="1"/>
  <c r="CG30" i="4"/>
  <c r="CG44" i="2" s="1"/>
  <c r="CH30" i="4"/>
  <c r="CH44" i="2" s="1"/>
  <c r="CI30" i="4"/>
  <c r="CI44" i="2" s="1"/>
  <c r="CJ30" i="4"/>
  <c r="CJ44" i="2" s="1"/>
  <c r="D31" i="4"/>
  <c r="D45" i="2" s="1"/>
  <c r="E31" i="4"/>
  <c r="E45" i="2" s="1"/>
  <c r="F31" i="4"/>
  <c r="F45" i="2" s="1"/>
  <c r="G31" i="4"/>
  <c r="G45" i="2" s="1"/>
  <c r="H31" i="4"/>
  <c r="H45" i="2" s="1"/>
  <c r="I31" i="4"/>
  <c r="I45" i="2" s="1"/>
  <c r="J31" i="4"/>
  <c r="J45" i="2" s="1"/>
  <c r="K31" i="4"/>
  <c r="K45" i="2" s="1"/>
  <c r="L31" i="4"/>
  <c r="L45" i="2" s="1"/>
  <c r="M31" i="4"/>
  <c r="M45" i="2" s="1"/>
  <c r="N31" i="4"/>
  <c r="N45" i="2" s="1"/>
  <c r="O31" i="4"/>
  <c r="O45" i="2" s="1"/>
  <c r="P31" i="4"/>
  <c r="P45" i="2" s="1"/>
  <c r="Q31" i="4"/>
  <c r="Q45" i="2" s="1"/>
  <c r="R31" i="4"/>
  <c r="R45" i="2" s="1"/>
  <c r="S31" i="4"/>
  <c r="S45" i="2" s="1"/>
  <c r="T31" i="4"/>
  <c r="T45" i="2" s="1"/>
  <c r="U31" i="4"/>
  <c r="U45" i="2" s="1"/>
  <c r="V31" i="4"/>
  <c r="V45" i="2" s="1"/>
  <c r="W31" i="4"/>
  <c r="W45" i="2" s="1"/>
  <c r="X31" i="4"/>
  <c r="X45" i="2" s="1"/>
  <c r="Y31" i="4"/>
  <c r="Z31" i="4"/>
  <c r="Z45" i="2" s="1"/>
  <c r="AA31" i="4"/>
  <c r="AA45" i="2" s="1"/>
  <c r="AB31" i="4"/>
  <c r="AB45" i="2" s="1"/>
  <c r="AC31" i="4"/>
  <c r="AC45" i="2" s="1"/>
  <c r="AD31" i="4"/>
  <c r="AD45" i="2" s="1"/>
  <c r="AE31" i="4"/>
  <c r="AE45" i="2" s="1"/>
  <c r="AF31" i="4"/>
  <c r="AF45" i="2" s="1"/>
  <c r="AG31" i="4"/>
  <c r="AG45" i="2" s="1"/>
  <c r="AH31" i="4"/>
  <c r="AH45" i="2" s="1"/>
  <c r="AI31" i="4"/>
  <c r="AI45" i="2" s="1"/>
  <c r="AJ31" i="4"/>
  <c r="AJ45" i="2" s="1"/>
  <c r="AK31" i="4"/>
  <c r="AK45" i="2" s="1"/>
  <c r="AL31" i="4"/>
  <c r="AL45" i="2" s="1"/>
  <c r="AM31" i="4"/>
  <c r="AM45" i="2" s="1"/>
  <c r="AN31" i="4"/>
  <c r="AN45" i="2" s="1"/>
  <c r="AO31" i="4"/>
  <c r="AO45" i="2" s="1"/>
  <c r="AP31" i="4"/>
  <c r="AP45" i="2" s="1"/>
  <c r="AQ31" i="4"/>
  <c r="AQ45" i="2" s="1"/>
  <c r="AR31" i="4"/>
  <c r="AR45" i="2" s="1"/>
  <c r="AS31" i="4"/>
  <c r="AS45" i="2" s="1"/>
  <c r="AT31" i="4"/>
  <c r="AT45" i="2" s="1"/>
  <c r="AU31" i="4"/>
  <c r="AU45" i="2" s="1"/>
  <c r="AV31" i="4"/>
  <c r="AV45" i="2" s="1"/>
  <c r="AW31" i="4"/>
  <c r="AW45" i="2" s="1"/>
  <c r="AX31" i="4"/>
  <c r="AX45" i="2" s="1"/>
  <c r="AY31" i="4"/>
  <c r="AY45" i="2" s="1"/>
  <c r="AZ31" i="4"/>
  <c r="AZ45" i="2" s="1"/>
  <c r="BA31" i="4"/>
  <c r="BA45" i="2" s="1"/>
  <c r="BB31" i="4"/>
  <c r="BB45" i="2" s="1"/>
  <c r="BC31" i="4"/>
  <c r="BC45" i="2" s="1"/>
  <c r="BD31" i="4"/>
  <c r="BD45" i="2" s="1"/>
  <c r="BE31" i="4"/>
  <c r="BE45" i="2" s="1"/>
  <c r="BF31" i="4"/>
  <c r="BF45" i="2" s="1"/>
  <c r="BG31" i="4"/>
  <c r="BG45" i="2" s="1"/>
  <c r="BH31" i="4"/>
  <c r="BH45" i="2" s="1"/>
  <c r="BI31" i="4"/>
  <c r="BI45" i="2" s="1"/>
  <c r="BJ31" i="4"/>
  <c r="BJ45" i="2" s="1"/>
  <c r="BK31" i="4"/>
  <c r="BK45" i="2" s="1"/>
  <c r="BL31" i="4"/>
  <c r="BL45" i="2" s="1"/>
  <c r="BM31" i="4"/>
  <c r="BM45" i="2" s="1"/>
  <c r="BN31" i="4"/>
  <c r="BN45" i="2" s="1"/>
  <c r="BO31" i="4"/>
  <c r="BO45" i="2" s="1"/>
  <c r="BP31" i="4"/>
  <c r="BP45" i="2" s="1"/>
  <c r="BQ31" i="4"/>
  <c r="BQ45" i="2" s="1"/>
  <c r="BR31" i="4"/>
  <c r="BR45" i="2" s="1"/>
  <c r="BS31" i="4"/>
  <c r="BS45" i="2" s="1"/>
  <c r="BT31" i="4"/>
  <c r="BT45" i="2" s="1"/>
  <c r="BU31" i="4"/>
  <c r="BU45" i="2" s="1"/>
  <c r="BV31" i="4"/>
  <c r="BV45" i="2" s="1"/>
  <c r="BW31" i="4"/>
  <c r="BW45" i="2" s="1"/>
  <c r="BX31" i="4"/>
  <c r="BX45" i="2" s="1"/>
  <c r="BY31" i="4"/>
  <c r="BY45" i="2" s="1"/>
  <c r="BZ31" i="4"/>
  <c r="BZ45" i="2" s="1"/>
  <c r="CA31" i="4"/>
  <c r="CA45" i="2" s="1"/>
  <c r="CB31" i="4"/>
  <c r="CB45" i="2" s="1"/>
  <c r="CC31" i="4"/>
  <c r="CC45" i="2" s="1"/>
  <c r="CD31" i="4"/>
  <c r="CD45" i="2" s="1"/>
  <c r="CE31" i="4"/>
  <c r="CE45" i="2" s="1"/>
  <c r="CF31" i="4"/>
  <c r="CF45" i="2" s="1"/>
  <c r="CG31" i="4"/>
  <c r="CG45" i="2" s="1"/>
  <c r="CH31" i="4"/>
  <c r="CH45" i="2" s="1"/>
  <c r="CI31" i="4"/>
  <c r="CI45" i="2" s="1"/>
  <c r="CJ31" i="4"/>
  <c r="CK31" i="4" s="1"/>
  <c r="D32" i="4"/>
  <c r="D46" i="2" s="1"/>
  <c r="E32" i="4"/>
  <c r="E46" i="2" s="1"/>
  <c r="F32" i="4"/>
  <c r="F46" i="2" s="1"/>
  <c r="G32" i="4"/>
  <c r="G46" i="2" s="1"/>
  <c r="H32" i="4"/>
  <c r="H46" i="2" s="1"/>
  <c r="I32" i="4"/>
  <c r="I46" i="2" s="1"/>
  <c r="J32" i="4"/>
  <c r="J46" i="2" s="1"/>
  <c r="K32" i="4"/>
  <c r="K46" i="2" s="1"/>
  <c r="L32" i="4"/>
  <c r="L46" i="2" s="1"/>
  <c r="M32" i="4"/>
  <c r="M46" i="2" s="1"/>
  <c r="N32" i="4"/>
  <c r="N46" i="2" s="1"/>
  <c r="O32" i="4"/>
  <c r="O46" i="2" s="1"/>
  <c r="P32" i="4"/>
  <c r="P46" i="2" s="1"/>
  <c r="Q32" i="4"/>
  <c r="Q46" i="2" s="1"/>
  <c r="R32" i="4"/>
  <c r="R46" i="2" s="1"/>
  <c r="S32" i="4"/>
  <c r="S46" i="2" s="1"/>
  <c r="T32" i="4"/>
  <c r="T46" i="2" s="1"/>
  <c r="U32" i="4"/>
  <c r="U46" i="2" s="1"/>
  <c r="V32" i="4"/>
  <c r="V46" i="2" s="1"/>
  <c r="W32" i="4"/>
  <c r="W46" i="2" s="1"/>
  <c r="X32" i="4"/>
  <c r="X46" i="2" s="1"/>
  <c r="Y32" i="4"/>
  <c r="Y46" i="2" s="1"/>
  <c r="Z32" i="4"/>
  <c r="Z46" i="2" s="1"/>
  <c r="AA32" i="4"/>
  <c r="AA46" i="2" s="1"/>
  <c r="AB32" i="4"/>
  <c r="AB46" i="2" s="1"/>
  <c r="AC32" i="4"/>
  <c r="AC46" i="2" s="1"/>
  <c r="AD32" i="4"/>
  <c r="AD46" i="2" s="1"/>
  <c r="AE32" i="4"/>
  <c r="AE46" i="2" s="1"/>
  <c r="AF32" i="4"/>
  <c r="AF46" i="2" s="1"/>
  <c r="AG32" i="4"/>
  <c r="AG46" i="2" s="1"/>
  <c r="AH32" i="4"/>
  <c r="AH46" i="2" s="1"/>
  <c r="AI32" i="4"/>
  <c r="AI46" i="2" s="1"/>
  <c r="AJ32" i="4"/>
  <c r="AJ46" i="2" s="1"/>
  <c r="AK32" i="4"/>
  <c r="AK46" i="2" s="1"/>
  <c r="AL32" i="4"/>
  <c r="AL46" i="2" s="1"/>
  <c r="AM32" i="4"/>
  <c r="AM46" i="2" s="1"/>
  <c r="AN32" i="4"/>
  <c r="AN46" i="2" s="1"/>
  <c r="AO32" i="4"/>
  <c r="AO46" i="2" s="1"/>
  <c r="AP32" i="4"/>
  <c r="AP46" i="2" s="1"/>
  <c r="AQ32" i="4"/>
  <c r="AQ46" i="2" s="1"/>
  <c r="AR32" i="4"/>
  <c r="AR46" i="2" s="1"/>
  <c r="AS32" i="4"/>
  <c r="AS46" i="2" s="1"/>
  <c r="AT32" i="4"/>
  <c r="AT46" i="2" s="1"/>
  <c r="AU32" i="4"/>
  <c r="AU46" i="2" s="1"/>
  <c r="AV32" i="4"/>
  <c r="AV46" i="2" s="1"/>
  <c r="AW32" i="4"/>
  <c r="AW46" i="2" s="1"/>
  <c r="AX32" i="4"/>
  <c r="AX46" i="2" s="1"/>
  <c r="AY32" i="4"/>
  <c r="AY46" i="2" s="1"/>
  <c r="AZ32" i="4"/>
  <c r="AZ46" i="2" s="1"/>
  <c r="BA32" i="4"/>
  <c r="BA46" i="2" s="1"/>
  <c r="BB32" i="4"/>
  <c r="BB46" i="2" s="1"/>
  <c r="BC32" i="4"/>
  <c r="BC46" i="2" s="1"/>
  <c r="BD32" i="4"/>
  <c r="BD46" i="2" s="1"/>
  <c r="BE32" i="4"/>
  <c r="BE46" i="2" s="1"/>
  <c r="BF32" i="4"/>
  <c r="BF46" i="2" s="1"/>
  <c r="BG32" i="4"/>
  <c r="BG46" i="2" s="1"/>
  <c r="BH32" i="4"/>
  <c r="BH46" i="2" s="1"/>
  <c r="BI32" i="4"/>
  <c r="BI46" i="2" s="1"/>
  <c r="BJ32" i="4"/>
  <c r="BJ46" i="2" s="1"/>
  <c r="BK32" i="4"/>
  <c r="BK46" i="2" s="1"/>
  <c r="BL32" i="4"/>
  <c r="BL46" i="2" s="1"/>
  <c r="BM32" i="4"/>
  <c r="BM46" i="2" s="1"/>
  <c r="BN32" i="4"/>
  <c r="BN46" i="2" s="1"/>
  <c r="BO32" i="4"/>
  <c r="BO46" i="2" s="1"/>
  <c r="BP32" i="4"/>
  <c r="BP46" i="2" s="1"/>
  <c r="BQ32" i="4"/>
  <c r="BQ46" i="2" s="1"/>
  <c r="BR32" i="4"/>
  <c r="BR46" i="2" s="1"/>
  <c r="BS32" i="4"/>
  <c r="BS46" i="2" s="1"/>
  <c r="BT32" i="4"/>
  <c r="BT46" i="2" s="1"/>
  <c r="BU32" i="4"/>
  <c r="BU46" i="2" s="1"/>
  <c r="BV32" i="4"/>
  <c r="BV46" i="2" s="1"/>
  <c r="BW32" i="4"/>
  <c r="BW46" i="2" s="1"/>
  <c r="BX32" i="4"/>
  <c r="BX46" i="2" s="1"/>
  <c r="BY32" i="4"/>
  <c r="BY46" i="2" s="1"/>
  <c r="BZ32" i="4"/>
  <c r="BZ46" i="2" s="1"/>
  <c r="CA32" i="4"/>
  <c r="CA46" i="2" s="1"/>
  <c r="CB32" i="4"/>
  <c r="CB46" i="2" s="1"/>
  <c r="CC32" i="4"/>
  <c r="CC46" i="2" s="1"/>
  <c r="CD32" i="4"/>
  <c r="CD46" i="2" s="1"/>
  <c r="CE32" i="4"/>
  <c r="CE46" i="2" s="1"/>
  <c r="CF32" i="4"/>
  <c r="CF46" i="2" s="1"/>
  <c r="CG32" i="4"/>
  <c r="CG46" i="2" s="1"/>
  <c r="CH32" i="4"/>
  <c r="CH46" i="2" s="1"/>
  <c r="CI32" i="4"/>
  <c r="CI46" i="2" s="1"/>
  <c r="CJ32" i="4"/>
  <c r="CK32" i="4" s="1"/>
  <c r="D33" i="4"/>
  <c r="D47" i="2" s="1"/>
  <c r="E33" i="4"/>
  <c r="E47" i="2" s="1"/>
  <c r="F33" i="4"/>
  <c r="F47" i="2" s="1"/>
  <c r="G33" i="4"/>
  <c r="G47" i="2" s="1"/>
  <c r="H33" i="4"/>
  <c r="H47" i="2" s="1"/>
  <c r="I33" i="4"/>
  <c r="I47" i="2" s="1"/>
  <c r="J33" i="4"/>
  <c r="J47" i="2" s="1"/>
  <c r="K33" i="4"/>
  <c r="K47" i="2" s="1"/>
  <c r="L33" i="4"/>
  <c r="L47" i="2" s="1"/>
  <c r="M33" i="4"/>
  <c r="M47" i="2" s="1"/>
  <c r="N33" i="4"/>
  <c r="N47" i="2" s="1"/>
  <c r="O33" i="4"/>
  <c r="O47" i="2" s="1"/>
  <c r="P33" i="4"/>
  <c r="P47" i="2" s="1"/>
  <c r="Q33" i="4"/>
  <c r="Q47" i="2" s="1"/>
  <c r="R33" i="4"/>
  <c r="R47" i="2" s="1"/>
  <c r="S33" i="4"/>
  <c r="S47" i="2" s="1"/>
  <c r="T33" i="4"/>
  <c r="T47" i="2" s="1"/>
  <c r="U33" i="4"/>
  <c r="U47" i="2" s="1"/>
  <c r="V33" i="4"/>
  <c r="V47" i="2" s="1"/>
  <c r="W33" i="4"/>
  <c r="W47" i="2" s="1"/>
  <c r="X33" i="4"/>
  <c r="X47" i="2" s="1"/>
  <c r="Y33" i="4"/>
  <c r="Y47" i="2" s="1"/>
  <c r="Z33" i="4"/>
  <c r="Z47" i="2" s="1"/>
  <c r="AA33" i="4"/>
  <c r="AA47" i="2" s="1"/>
  <c r="AB33" i="4"/>
  <c r="AB47" i="2" s="1"/>
  <c r="AC33" i="4"/>
  <c r="AC47" i="2" s="1"/>
  <c r="AD33" i="4"/>
  <c r="AD47" i="2" s="1"/>
  <c r="AE33" i="4"/>
  <c r="AE47" i="2" s="1"/>
  <c r="AF33" i="4"/>
  <c r="AF47" i="2" s="1"/>
  <c r="AG33" i="4"/>
  <c r="AG47" i="2" s="1"/>
  <c r="AH33" i="4"/>
  <c r="AH47" i="2" s="1"/>
  <c r="AI33" i="4"/>
  <c r="AI47" i="2" s="1"/>
  <c r="AJ33" i="4"/>
  <c r="AJ47" i="2" s="1"/>
  <c r="AK33" i="4"/>
  <c r="AK47" i="2" s="1"/>
  <c r="AL33" i="4"/>
  <c r="AL47" i="2" s="1"/>
  <c r="AM33" i="4"/>
  <c r="AM47" i="2" s="1"/>
  <c r="AN33" i="4"/>
  <c r="AN47" i="2" s="1"/>
  <c r="AO33" i="4"/>
  <c r="AO47" i="2" s="1"/>
  <c r="AP33" i="4"/>
  <c r="AP47" i="2" s="1"/>
  <c r="AQ33" i="4"/>
  <c r="AQ47" i="2" s="1"/>
  <c r="AR33" i="4"/>
  <c r="AR47" i="2" s="1"/>
  <c r="AS33" i="4"/>
  <c r="AS47" i="2" s="1"/>
  <c r="AT33" i="4"/>
  <c r="AT47" i="2" s="1"/>
  <c r="AU33" i="4"/>
  <c r="AU47" i="2" s="1"/>
  <c r="AV33" i="4"/>
  <c r="AV47" i="2" s="1"/>
  <c r="AW33" i="4"/>
  <c r="AW47" i="2" s="1"/>
  <c r="AX33" i="4"/>
  <c r="AX47" i="2" s="1"/>
  <c r="AY33" i="4"/>
  <c r="AY47" i="2" s="1"/>
  <c r="AZ33" i="4"/>
  <c r="AZ47" i="2" s="1"/>
  <c r="BA33" i="4"/>
  <c r="BA47" i="2" s="1"/>
  <c r="BB33" i="4"/>
  <c r="BB47" i="2" s="1"/>
  <c r="BC33" i="4"/>
  <c r="BC47" i="2" s="1"/>
  <c r="BD33" i="4"/>
  <c r="BD47" i="2" s="1"/>
  <c r="BE33" i="4"/>
  <c r="BE47" i="2" s="1"/>
  <c r="BF33" i="4"/>
  <c r="BF47" i="2" s="1"/>
  <c r="BG33" i="4"/>
  <c r="BG47" i="2" s="1"/>
  <c r="BH33" i="4"/>
  <c r="BH47" i="2" s="1"/>
  <c r="BI33" i="4"/>
  <c r="BI47" i="2" s="1"/>
  <c r="BJ33" i="4"/>
  <c r="BJ47" i="2" s="1"/>
  <c r="BK33" i="4"/>
  <c r="BK47" i="2" s="1"/>
  <c r="BL33" i="4"/>
  <c r="BL47" i="2" s="1"/>
  <c r="BM33" i="4"/>
  <c r="BM47" i="2" s="1"/>
  <c r="BN33" i="4"/>
  <c r="BN47" i="2" s="1"/>
  <c r="BO33" i="4"/>
  <c r="BO47" i="2" s="1"/>
  <c r="BP33" i="4"/>
  <c r="BP47" i="2" s="1"/>
  <c r="BQ33" i="4"/>
  <c r="BQ47" i="2" s="1"/>
  <c r="BR33" i="4"/>
  <c r="BR47" i="2" s="1"/>
  <c r="BS33" i="4"/>
  <c r="BS47" i="2" s="1"/>
  <c r="BT33" i="4"/>
  <c r="BT47" i="2" s="1"/>
  <c r="BU33" i="4"/>
  <c r="BU47" i="2" s="1"/>
  <c r="BV33" i="4"/>
  <c r="BV47" i="2" s="1"/>
  <c r="BW33" i="4"/>
  <c r="BW47" i="2" s="1"/>
  <c r="BX33" i="4"/>
  <c r="BX47" i="2" s="1"/>
  <c r="BY33" i="4"/>
  <c r="BY47" i="2" s="1"/>
  <c r="BZ33" i="4"/>
  <c r="BZ47" i="2" s="1"/>
  <c r="CA33" i="4"/>
  <c r="CA47" i="2" s="1"/>
  <c r="CB33" i="4"/>
  <c r="CB47" i="2" s="1"/>
  <c r="CC33" i="4"/>
  <c r="CC47" i="2" s="1"/>
  <c r="CD33" i="4"/>
  <c r="CD47" i="2" s="1"/>
  <c r="CE33" i="4"/>
  <c r="CE47" i="2" s="1"/>
  <c r="CF33" i="4"/>
  <c r="CF47" i="2" s="1"/>
  <c r="CG33" i="4"/>
  <c r="CG47" i="2" s="1"/>
  <c r="CH33" i="4"/>
  <c r="CH47" i="2" s="1"/>
  <c r="CI33" i="4"/>
  <c r="CI47" i="2" s="1"/>
  <c r="CJ33" i="4"/>
  <c r="CJ47" i="2" s="1"/>
  <c r="D34" i="4"/>
  <c r="D48" i="2" s="1"/>
  <c r="E34" i="4"/>
  <c r="E48" i="2" s="1"/>
  <c r="F34" i="4"/>
  <c r="F48" i="2" s="1"/>
  <c r="G34" i="4"/>
  <c r="G48" i="2" s="1"/>
  <c r="H34" i="4"/>
  <c r="H48" i="2" s="1"/>
  <c r="I34" i="4"/>
  <c r="I48" i="2" s="1"/>
  <c r="J34" i="4"/>
  <c r="J48" i="2" s="1"/>
  <c r="K34" i="4"/>
  <c r="K48" i="2" s="1"/>
  <c r="L34" i="4"/>
  <c r="L48" i="2" s="1"/>
  <c r="M34" i="4"/>
  <c r="M48" i="2" s="1"/>
  <c r="N34" i="4"/>
  <c r="N48" i="2" s="1"/>
  <c r="O34" i="4"/>
  <c r="O48" i="2" s="1"/>
  <c r="P34" i="4"/>
  <c r="P48" i="2" s="1"/>
  <c r="Q34" i="4"/>
  <c r="Q48" i="2" s="1"/>
  <c r="R34" i="4"/>
  <c r="R48" i="2" s="1"/>
  <c r="S34" i="4"/>
  <c r="S48" i="2" s="1"/>
  <c r="T34" i="4"/>
  <c r="T48" i="2" s="1"/>
  <c r="U34" i="4"/>
  <c r="U48" i="2" s="1"/>
  <c r="V34" i="4"/>
  <c r="V48" i="2" s="1"/>
  <c r="W34" i="4"/>
  <c r="W48" i="2" s="1"/>
  <c r="X34" i="4"/>
  <c r="X48" i="2" s="1"/>
  <c r="Y34" i="4"/>
  <c r="Y48" i="2" s="1"/>
  <c r="Z34" i="4"/>
  <c r="Z48" i="2" s="1"/>
  <c r="AA34" i="4"/>
  <c r="AA48" i="2" s="1"/>
  <c r="AB34" i="4"/>
  <c r="AB48" i="2" s="1"/>
  <c r="AC34" i="4"/>
  <c r="AC48" i="2" s="1"/>
  <c r="AD34" i="4"/>
  <c r="AD48" i="2" s="1"/>
  <c r="AE34" i="4"/>
  <c r="AE48" i="2" s="1"/>
  <c r="AF34" i="4"/>
  <c r="AF48" i="2" s="1"/>
  <c r="AG34" i="4"/>
  <c r="AG48" i="2" s="1"/>
  <c r="AH34" i="4"/>
  <c r="AH48" i="2" s="1"/>
  <c r="AI34" i="4"/>
  <c r="AI48" i="2" s="1"/>
  <c r="AJ34" i="4"/>
  <c r="AJ48" i="2" s="1"/>
  <c r="AK34" i="4"/>
  <c r="AK48" i="2" s="1"/>
  <c r="AL34" i="4"/>
  <c r="AL48" i="2" s="1"/>
  <c r="AM34" i="4"/>
  <c r="AM48" i="2" s="1"/>
  <c r="AN34" i="4"/>
  <c r="AN48" i="2" s="1"/>
  <c r="AO34" i="4"/>
  <c r="AO48" i="2" s="1"/>
  <c r="AP34" i="4"/>
  <c r="AP48" i="2" s="1"/>
  <c r="AQ34" i="4"/>
  <c r="AQ48" i="2" s="1"/>
  <c r="AR34" i="4"/>
  <c r="AR48" i="2" s="1"/>
  <c r="AS34" i="4"/>
  <c r="AS48" i="2" s="1"/>
  <c r="AT34" i="4"/>
  <c r="AT48" i="2" s="1"/>
  <c r="AU34" i="4"/>
  <c r="AU48" i="2" s="1"/>
  <c r="AV34" i="4"/>
  <c r="AV48" i="2" s="1"/>
  <c r="AW34" i="4"/>
  <c r="AW48" i="2" s="1"/>
  <c r="AX34" i="4"/>
  <c r="AX48" i="2" s="1"/>
  <c r="AY34" i="4"/>
  <c r="AY48" i="2" s="1"/>
  <c r="AZ34" i="4"/>
  <c r="AZ48" i="2" s="1"/>
  <c r="BA34" i="4"/>
  <c r="BA48" i="2" s="1"/>
  <c r="BB34" i="4"/>
  <c r="BB48" i="2" s="1"/>
  <c r="BC34" i="4"/>
  <c r="BC48" i="2" s="1"/>
  <c r="BD34" i="4"/>
  <c r="BD48" i="2" s="1"/>
  <c r="BE34" i="4"/>
  <c r="BE48" i="2" s="1"/>
  <c r="BF34" i="4"/>
  <c r="BF48" i="2" s="1"/>
  <c r="BG34" i="4"/>
  <c r="BG48" i="2" s="1"/>
  <c r="BH34" i="4"/>
  <c r="BH48" i="2" s="1"/>
  <c r="BI34" i="4"/>
  <c r="BI48" i="2" s="1"/>
  <c r="BJ34" i="4"/>
  <c r="BJ48" i="2" s="1"/>
  <c r="BK34" i="4"/>
  <c r="BK48" i="2" s="1"/>
  <c r="BL34" i="4"/>
  <c r="BL48" i="2" s="1"/>
  <c r="BM34" i="4"/>
  <c r="BM48" i="2" s="1"/>
  <c r="BN34" i="4"/>
  <c r="BN48" i="2" s="1"/>
  <c r="BO34" i="4"/>
  <c r="BO48" i="2" s="1"/>
  <c r="BP34" i="4"/>
  <c r="BP48" i="2" s="1"/>
  <c r="BQ34" i="4"/>
  <c r="BQ48" i="2" s="1"/>
  <c r="BR34" i="4"/>
  <c r="BR48" i="2" s="1"/>
  <c r="BS34" i="4"/>
  <c r="BS48" i="2" s="1"/>
  <c r="BT34" i="4"/>
  <c r="BT48" i="2" s="1"/>
  <c r="BU34" i="4"/>
  <c r="BU48" i="2" s="1"/>
  <c r="BV34" i="4"/>
  <c r="BV48" i="2" s="1"/>
  <c r="BW34" i="4"/>
  <c r="BW48" i="2" s="1"/>
  <c r="BX34" i="4"/>
  <c r="BX48" i="2" s="1"/>
  <c r="BY34" i="4"/>
  <c r="BY48" i="2" s="1"/>
  <c r="BZ34" i="4"/>
  <c r="BZ48" i="2" s="1"/>
  <c r="CA34" i="4"/>
  <c r="CA48" i="2" s="1"/>
  <c r="CB34" i="4"/>
  <c r="CB48" i="2" s="1"/>
  <c r="CC34" i="4"/>
  <c r="CC48" i="2" s="1"/>
  <c r="CD34" i="4"/>
  <c r="CD48" i="2" s="1"/>
  <c r="CE34" i="4"/>
  <c r="CE48" i="2" s="1"/>
  <c r="CF34" i="4"/>
  <c r="CF48" i="2" s="1"/>
  <c r="CG34" i="4"/>
  <c r="CG48" i="2" s="1"/>
  <c r="CH34" i="4"/>
  <c r="CH48" i="2" s="1"/>
  <c r="CI34" i="4"/>
  <c r="CI48" i="2" s="1"/>
  <c r="CJ34" i="4"/>
  <c r="CK34" i="4" s="1"/>
  <c r="D35" i="4"/>
  <c r="D49" i="2" s="1"/>
  <c r="E35" i="4"/>
  <c r="E49" i="2" s="1"/>
  <c r="F35" i="4"/>
  <c r="F49" i="2" s="1"/>
  <c r="G35" i="4"/>
  <c r="G49" i="2" s="1"/>
  <c r="H35" i="4"/>
  <c r="H49" i="2" s="1"/>
  <c r="I35" i="4"/>
  <c r="I49" i="2" s="1"/>
  <c r="J35" i="4"/>
  <c r="J49" i="2" s="1"/>
  <c r="K35" i="4"/>
  <c r="K49" i="2" s="1"/>
  <c r="L35" i="4"/>
  <c r="L49" i="2" s="1"/>
  <c r="M35" i="4"/>
  <c r="M49" i="2" s="1"/>
  <c r="N35" i="4"/>
  <c r="N49" i="2" s="1"/>
  <c r="O35" i="4"/>
  <c r="O49" i="2" s="1"/>
  <c r="P35" i="4"/>
  <c r="P49" i="2" s="1"/>
  <c r="Q35" i="4"/>
  <c r="Q49" i="2" s="1"/>
  <c r="R35" i="4"/>
  <c r="R49" i="2" s="1"/>
  <c r="S35" i="4"/>
  <c r="S49" i="2" s="1"/>
  <c r="T35" i="4"/>
  <c r="T49" i="2" s="1"/>
  <c r="U35" i="4"/>
  <c r="U49" i="2" s="1"/>
  <c r="V35" i="4"/>
  <c r="V49" i="2" s="1"/>
  <c r="W35" i="4"/>
  <c r="W49" i="2" s="1"/>
  <c r="X35" i="4"/>
  <c r="X49" i="2" s="1"/>
  <c r="Y35" i="4"/>
  <c r="Y49" i="2" s="1"/>
  <c r="Z35" i="4"/>
  <c r="Z49" i="2" s="1"/>
  <c r="AA35" i="4"/>
  <c r="AA49" i="2" s="1"/>
  <c r="AB35" i="4"/>
  <c r="AB49" i="2" s="1"/>
  <c r="AC35" i="4"/>
  <c r="AC49" i="2" s="1"/>
  <c r="AD35" i="4"/>
  <c r="AD49" i="2" s="1"/>
  <c r="AE35" i="4"/>
  <c r="AE49" i="2" s="1"/>
  <c r="AF35" i="4"/>
  <c r="AF49" i="2" s="1"/>
  <c r="AG35" i="4"/>
  <c r="AG49" i="2" s="1"/>
  <c r="AH35" i="4"/>
  <c r="AH49" i="2" s="1"/>
  <c r="AI35" i="4"/>
  <c r="AI49" i="2" s="1"/>
  <c r="AJ35" i="4"/>
  <c r="AJ49" i="2" s="1"/>
  <c r="AK35" i="4"/>
  <c r="AK49" i="2" s="1"/>
  <c r="AL35" i="4"/>
  <c r="AL49" i="2" s="1"/>
  <c r="AM35" i="4"/>
  <c r="AM49" i="2" s="1"/>
  <c r="AN35" i="4"/>
  <c r="AN49" i="2" s="1"/>
  <c r="AO35" i="4"/>
  <c r="AO49" i="2" s="1"/>
  <c r="AP35" i="4"/>
  <c r="AP49" i="2" s="1"/>
  <c r="AQ35" i="4"/>
  <c r="AQ49" i="2" s="1"/>
  <c r="AR35" i="4"/>
  <c r="AR49" i="2" s="1"/>
  <c r="AS35" i="4"/>
  <c r="AS49" i="2" s="1"/>
  <c r="AT35" i="4"/>
  <c r="AT49" i="2" s="1"/>
  <c r="AU35" i="4"/>
  <c r="AU49" i="2" s="1"/>
  <c r="AV35" i="4"/>
  <c r="AV49" i="2" s="1"/>
  <c r="AW35" i="4"/>
  <c r="AW49" i="2" s="1"/>
  <c r="AX35" i="4"/>
  <c r="AX49" i="2" s="1"/>
  <c r="AY35" i="4"/>
  <c r="AY49" i="2" s="1"/>
  <c r="AZ35" i="4"/>
  <c r="AZ49" i="2" s="1"/>
  <c r="BA35" i="4"/>
  <c r="BA49" i="2" s="1"/>
  <c r="BB35" i="4"/>
  <c r="BB49" i="2" s="1"/>
  <c r="BC35" i="4"/>
  <c r="BC49" i="2" s="1"/>
  <c r="BD35" i="4"/>
  <c r="BD49" i="2" s="1"/>
  <c r="BE35" i="4"/>
  <c r="BE49" i="2" s="1"/>
  <c r="BF35" i="4"/>
  <c r="BF49" i="2" s="1"/>
  <c r="BG35" i="4"/>
  <c r="BG49" i="2" s="1"/>
  <c r="BH35" i="4"/>
  <c r="BH49" i="2" s="1"/>
  <c r="BI35" i="4"/>
  <c r="BI49" i="2" s="1"/>
  <c r="BJ35" i="4"/>
  <c r="BJ49" i="2" s="1"/>
  <c r="BK35" i="4"/>
  <c r="BK49" i="2" s="1"/>
  <c r="BL35" i="4"/>
  <c r="BL49" i="2" s="1"/>
  <c r="BM35" i="4"/>
  <c r="BM49" i="2" s="1"/>
  <c r="BN35" i="4"/>
  <c r="BN49" i="2" s="1"/>
  <c r="BO35" i="4"/>
  <c r="BO49" i="2" s="1"/>
  <c r="BP35" i="4"/>
  <c r="BP49" i="2" s="1"/>
  <c r="BQ35" i="4"/>
  <c r="BQ49" i="2" s="1"/>
  <c r="BR35" i="4"/>
  <c r="BR49" i="2" s="1"/>
  <c r="BS35" i="4"/>
  <c r="BS49" i="2" s="1"/>
  <c r="BT35" i="4"/>
  <c r="BT49" i="2" s="1"/>
  <c r="BU35" i="4"/>
  <c r="BU49" i="2" s="1"/>
  <c r="BV35" i="4"/>
  <c r="BV49" i="2" s="1"/>
  <c r="BW35" i="4"/>
  <c r="BW49" i="2" s="1"/>
  <c r="BX35" i="4"/>
  <c r="BX49" i="2" s="1"/>
  <c r="BY35" i="4"/>
  <c r="BY49" i="2" s="1"/>
  <c r="BZ35" i="4"/>
  <c r="BZ49" i="2" s="1"/>
  <c r="CA35" i="4"/>
  <c r="CA49" i="2" s="1"/>
  <c r="CB35" i="4"/>
  <c r="CB49" i="2" s="1"/>
  <c r="CC35" i="4"/>
  <c r="CC49" i="2" s="1"/>
  <c r="CD35" i="4"/>
  <c r="CD49" i="2" s="1"/>
  <c r="CE35" i="4"/>
  <c r="CE49" i="2" s="1"/>
  <c r="CF35" i="4"/>
  <c r="CF49" i="2" s="1"/>
  <c r="CG35" i="4"/>
  <c r="CG49" i="2" s="1"/>
  <c r="CH35" i="4"/>
  <c r="CH49" i="2" s="1"/>
  <c r="CI35" i="4"/>
  <c r="CI49" i="2" s="1"/>
  <c r="CJ35" i="4"/>
  <c r="CJ49" i="2" s="1"/>
  <c r="D36" i="4"/>
  <c r="D50" i="2" s="1"/>
  <c r="E36" i="4"/>
  <c r="E50" i="2" s="1"/>
  <c r="F36" i="4"/>
  <c r="F50" i="2" s="1"/>
  <c r="G36" i="4"/>
  <c r="G50" i="2" s="1"/>
  <c r="H36" i="4"/>
  <c r="H50" i="2" s="1"/>
  <c r="I36" i="4"/>
  <c r="I50" i="2" s="1"/>
  <c r="J36" i="4"/>
  <c r="J50" i="2" s="1"/>
  <c r="K36" i="4"/>
  <c r="K50" i="2" s="1"/>
  <c r="L36" i="4"/>
  <c r="L50" i="2" s="1"/>
  <c r="M36" i="4"/>
  <c r="M50" i="2" s="1"/>
  <c r="N36" i="4"/>
  <c r="N50" i="2" s="1"/>
  <c r="O36" i="4"/>
  <c r="O50" i="2" s="1"/>
  <c r="P36" i="4"/>
  <c r="P50" i="2" s="1"/>
  <c r="Q36" i="4"/>
  <c r="Q50" i="2" s="1"/>
  <c r="R36" i="4"/>
  <c r="R50" i="2" s="1"/>
  <c r="S36" i="4"/>
  <c r="S50" i="2" s="1"/>
  <c r="T36" i="4"/>
  <c r="T50" i="2" s="1"/>
  <c r="U36" i="4"/>
  <c r="U50" i="2" s="1"/>
  <c r="V36" i="4"/>
  <c r="V50" i="2" s="1"/>
  <c r="W36" i="4"/>
  <c r="W50" i="2" s="1"/>
  <c r="X36" i="4"/>
  <c r="X50" i="2" s="1"/>
  <c r="Y36" i="4"/>
  <c r="Y50" i="2" s="1"/>
  <c r="Z36" i="4"/>
  <c r="Z50" i="2" s="1"/>
  <c r="AA36" i="4"/>
  <c r="AA50" i="2" s="1"/>
  <c r="AB36" i="4"/>
  <c r="AB50" i="2" s="1"/>
  <c r="AC36" i="4"/>
  <c r="AC50" i="2" s="1"/>
  <c r="AD36" i="4"/>
  <c r="AD50" i="2" s="1"/>
  <c r="AE36" i="4"/>
  <c r="AE50" i="2" s="1"/>
  <c r="AF36" i="4"/>
  <c r="AF50" i="2" s="1"/>
  <c r="AG36" i="4"/>
  <c r="AG50" i="2" s="1"/>
  <c r="AH36" i="4"/>
  <c r="AH50" i="2" s="1"/>
  <c r="AI36" i="4"/>
  <c r="AI50" i="2" s="1"/>
  <c r="AJ36" i="4"/>
  <c r="AJ50" i="2" s="1"/>
  <c r="AK36" i="4"/>
  <c r="AK50" i="2" s="1"/>
  <c r="AL36" i="4"/>
  <c r="AL50" i="2" s="1"/>
  <c r="AM36" i="4"/>
  <c r="AM50" i="2" s="1"/>
  <c r="AN36" i="4"/>
  <c r="AN50" i="2" s="1"/>
  <c r="AO36" i="4"/>
  <c r="AO50" i="2" s="1"/>
  <c r="AP36" i="4"/>
  <c r="AP50" i="2" s="1"/>
  <c r="AQ36" i="4"/>
  <c r="AQ50" i="2" s="1"/>
  <c r="AR36" i="4"/>
  <c r="AR50" i="2" s="1"/>
  <c r="AS36" i="4"/>
  <c r="AS50" i="2" s="1"/>
  <c r="AT36" i="4"/>
  <c r="AT50" i="2" s="1"/>
  <c r="AU36" i="4"/>
  <c r="AU50" i="2" s="1"/>
  <c r="AV36" i="4"/>
  <c r="AV50" i="2" s="1"/>
  <c r="AW36" i="4"/>
  <c r="AW50" i="2" s="1"/>
  <c r="AX36" i="4"/>
  <c r="AX50" i="2" s="1"/>
  <c r="AY36" i="4"/>
  <c r="AY50" i="2" s="1"/>
  <c r="AZ36" i="4"/>
  <c r="AZ50" i="2" s="1"/>
  <c r="BA36" i="4"/>
  <c r="BA50" i="2" s="1"/>
  <c r="BB36" i="4"/>
  <c r="BB50" i="2" s="1"/>
  <c r="BC36" i="4"/>
  <c r="BC50" i="2" s="1"/>
  <c r="BD36" i="4"/>
  <c r="BD50" i="2" s="1"/>
  <c r="BE36" i="4"/>
  <c r="BE50" i="2" s="1"/>
  <c r="BF36" i="4"/>
  <c r="BF50" i="2" s="1"/>
  <c r="BG36" i="4"/>
  <c r="BG50" i="2" s="1"/>
  <c r="BH36" i="4"/>
  <c r="BH50" i="2" s="1"/>
  <c r="BI36" i="4"/>
  <c r="BI50" i="2" s="1"/>
  <c r="BJ36" i="4"/>
  <c r="BJ50" i="2" s="1"/>
  <c r="BK36" i="4"/>
  <c r="BK50" i="2" s="1"/>
  <c r="BL36" i="4"/>
  <c r="BL50" i="2" s="1"/>
  <c r="BM36" i="4"/>
  <c r="BM50" i="2" s="1"/>
  <c r="BN36" i="4"/>
  <c r="BN50" i="2" s="1"/>
  <c r="BO36" i="4"/>
  <c r="BO50" i="2" s="1"/>
  <c r="BP36" i="4"/>
  <c r="BP50" i="2" s="1"/>
  <c r="BQ36" i="4"/>
  <c r="BQ50" i="2" s="1"/>
  <c r="BR36" i="4"/>
  <c r="BR50" i="2" s="1"/>
  <c r="BS36" i="4"/>
  <c r="BS50" i="2" s="1"/>
  <c r="BT36" i="4"/>
  <c r="BT50" i="2" s="1"/>
  <c r="BU36" i="4"/>
  <c r="BU50" i="2" s="1"/>
  <c r="BV36" i="4"/>
  <c r="BV50" i="2" s="1"/>
  <c r="BW36" i="4"/>
  <c r="BW50" i="2" s="1"/>
  <c r="BX36" i="4"/>
  <c r="BX50" i="2" s="1"/>
  <c r="BY36" i="4"/>
  <c r="BY50" i="2" s="1"/>
  <c r="BZ36" i="4"/>
  <c r="BZ50" i="2" s="1"/>
  <c r="CA36" i="4"/>
  <c r="CA50" i="2" s="1"/>
  <c r="CB36" i="4"/>
  <c r="CB50" i="2" s="1"/>
  <c r="CC36" i="4"/>
  <c r="CC50" i="2" s="1"/>
  <c r="CD36" i="4"/>
  <c r="CD50" i="2" s="1"/>
  <c r="CE36" i="4"/>
  <c r="CE50" i="2" s="1"/>
  <c r="CF36" i="4"/>
  <c r="CF50" i="2" s="1"/>
  <c r="CG36" i="4"/>
  <c r="CG50" i="2" s="1"/>
  <c r="CH36" i="4"/>
  <c r="CH50" i="2" s="1"/>
  <c r="CI36" i="4"/>
  <c r="CI50" i="2" s="1"/>
  <c r="CJ36" i="4"/>
  <c r="CJ50" i="2" s="1"/>
  <c r="D37" i="4"/>
  <c r="D51" i="2" s="1"/>
  <c r="E37" i="4"/>
  <c r="E51" i="2" s="1"/>
  <c r="F37" i="4"/>
  <c r="F51" i="2" s="1"/>
  <c r="G37" i="4"/>
  <c r="G51" i="2" s="1"/>
  <c r="H37" i="4"/>
  <c r="H51" i="2" s="1"/>
  <c r="I37" i="4"/>
  <c r="I51" i="2" s="1"/>
  <c r="J37" i="4"/>
  <c r="J51" i="2" s="1"/>
  <c r="K37" i="4"/>
  <c r="K51" i="2" s="1"/>
  <c r="L37" i="4"/>
  <c r="L51" i="2" s="1"/>
  <c r="M37" i="4"/>
  <c r="M51" i="2" s="1"/>
  <c r="N37" i="4"/>
  <c r="N51" i="2" s="1"/>
  <c r="O37" i="4"/>
  <c r="O51" i="2" s="1"/>
  <c r="P37" i="4"/>
  <c r="P51" i="2" s="1"/>
  <c r="Q37" i="4"/>
  <c r="Q51" i="2" s="1"/>
  <c r="R37" i="4"/>
  <c r="R51" i="2" s="1"/>
  <c r="S37" i="4"/>
  <c r="S51" i="2" s="1"/>
  <c r="T37" i="4"/>
  <c r="T51" i="2" s="1"/>
  <c r="U37" i="4"/>
  <c r="U51" i="2" s="1"/>
  <c r="V37" i="4"/>
  <c r="V51" i="2" s="1"/>
  <c r="W37" i="4"/>
  <c r="W51" i="2" s="1"/>
  <c r="X37" i="4"/>
  <c r="X51" i="2" s="1"/>
  <c r="Y37" i="4"/>
  <c r="Y51" i="2" s="1"/>
  <c r="Z37" i="4"/>
  <c r="Z51" i="2" s="1"/>
  <c r="AA37" i="4"/>
  <c r="AA51" i="2" s="1"/>
  <c r="AB37" i="4"/>
  <c r="AB51" i="2" s="1"/>
  <c r="AC37" i="4"/>
  <c r="AC51" i="2" s="1"/>
  <c r="AD37" i="4"/>
  <c r="AD51" i="2" s="1"/>
  <c r="AE37" i="4"/>
  <c r="AE51" i="2" s="1"/>
  <c r="AF37" i="4"/>
  <c r="AF51" i="2" s="1"/>
  <c r="AG37" i="4"/>
  <c r="AG51" i="2" s="1"/>
  <c r="AH37" i="4"/>
  <c r="AH51" i="2" s="1"/>
  <c r="AI37" i="4"/>
  <c r="AI51" i="2" s="1"/>
  <c r="AJ37" i="4"/>
  <c r="AJ51" i="2" s="1"/>
  <c r="AK37" i="4"/>
  <c r="AK51" i="2" s="1"/>
  <c r="AL37" i="4"/>
  <c r="AL51" i="2" s="1"/>
  <c r="AM37" i="4"/>
  <c r="AM51" i="2" s="1"/>
  <c r="AN37" i="4"/>
  <c r="AN51" i="2" s="1"/>
  <c r="AO37" i="4"/>
  <c r="AO51" i="2" s="1"/>
  <c r="AP37" i="4"/>
  <c r="AP51" i="2" s="1"/>
  <c r="AQ37" i="4"/>
  <c r="AQ51" i="2" s="1"/>
  <c r="AR37" i="4"/>
  <c r="AR51" i="2" s="1"/>
  <c r="AS37" i="4"/>
  <c r="AS51" i="2" s="1"/>
  <c r="AT37" i="4"/>
  <c r="AT51" i="2" s="1"/>
  <c r="AU37" i="4"/>
  <c r="AU51" i="2" s="1"/>
  <c r="AV37" i="4"/>
  <c r="AV51" i="2" s="1"/>
  <c r="AW37" i="4"/>
  <c r="AW51" i="2" s="1"/>
  <c r="AX37" i="4"/>
  <c r="AX51" i="2" s="1"/>
  <c r="AY37" i="4"/>
  <c r="AY51" i="2" s="1"/>
  <c r="AZ37" i="4"/>
  <c r="AZ51" i="2" s="1"/>
  <c r="BB37" i="4"/>
  <c r="BB51" i="2" s="1"/>
  <c r="BC37" i="4"/>
  <c r="BC51" i="2" s="1"/>
  <c r="BD37" i="4"/>
  <c r="BD51" i="2" s="1"/>
  <c r="BE37" i="4"/>
  <c r="BE51" i="2" s="1"/>
  <c r="BF37" i="4"/>
  <c r="BF51" i="2" s="1"/>
  <c r="BG37" i="4"/>
  <c r="BG51" i="2" s="1"/>
  <c r="BH37" i="4"/>
  <c r="BH51" i="2" s="1"/>
  <c r="BI37" i="4"/>
  <c r="BI51" i="2" s="1"/>
  <c r="BJ37" i="4"/>
  <c r="BJ51" i="2" s="1"/>
  <c r="BK37" i="4"/>
  <c r="BK51" i="2" s="1"/>
  <c r="BL37" i="4"/>
  <c r="BL51" i="2" s="1"/>
  <c r="BM37" i="4"/>
  <c r="BM51" i="2" s="1"/>
  <c r="BN37" i="4"/>
  <c r="BN51" i="2" s="1"/>
  <c r="BO37" i="4"/>
  <c r="BO51" i="2" s="1"/>
  <c r="BP37" i="4"/>
  <c r="BP51" i="2" s="1"/>
  <c r="BQ37" i="4"/>
  <c r="BQ51" i="2" s="1"/>
  <c r="BR37" i="4"/>
  <c r="BR51" i="2" s="1"/>
  <c r="BS37" i="4"/>
  <c r="BS51" i="2" s="1"/>
  <c r="BT37" i="4"/>
  <c r="BT51" i="2" s="1"/>
  <c r="BU37" i="4"/>
  <c r="BU51" i="2" s="1"/>
  <c r="BV37" i="4"/>
  <c r="BV51" i="2" s="1"/>
  <c r="BW37" i="4"/>
  <c r="BW51" i="2" s="1"/>
  <c r="BX37" i="4"/>
  <c r="BX51" i="2" s="1"/>
  <c r="BY37" i="4"/>
  <c r="BY51" i="2" s="1"/>
  <c r="BZ37" i="4"/>
  <c r="BZ51" i="2" s="1"/>
  <c r="CA37" i="4"/>
  <c r="CA51" i="2" s="1"/>
  <c r="CB37" i="4"/>
  <c r="CB51" i="2" s="1"/>
  <c r="CC37" i="4"/>
  <c r="CC51" i="2" s="1"/>
  <c r="CD37" i="4"/>
  <c r="CD51" i="2" s="1"/>
  <c r="CE37" i="4"/>
  <c r="CE51" i="2" s="1"/>
  <c r="CF37" i="4"/>
  <c r="CF51" i="2" s="1"/>
  <c r="CG37" i="4"/>
  <c r="CG51" i="2" s="1"/>
  <c r="CH37" i="4"/>
  <c r="CH51" i="2" s="1"/>
  <c r="CI37" i="4"/>
  <c r="CI51" i="2" s="1"/>
  <c r="CJ37" i="4"/>
  <c r="CJ51" i="2" s="1"/>
  <c r="D38" i="4"/>
  <c r="D52" i="2" s="1"/>
  <c r="E38" i="4"/>
  <c r="E52" i="2" s="1"/>
  <c r="F38" i="4"/>
  <c r="F52" i="2" s="1"/>
  <c r="G38" i="4"/>
  <c r="G52" i="2" s="1"/>
  <c r="H38" i="4"/>
  <c r="H52" i="2" s="1"/>
  <c r="I38" i="4"/>
  <c r="I52" i="2" s="1"/>
  <c r="J38" i="4"/>
  <c r="J52" i="2" s="1"/>
  <c r="K38" i="4"/>
  <c r="K52" i="2" s="1"/>
  <c r="L38" i="4"/>
  <c r="L52" i="2" s="1"/>
  <c r="M38" i="4"/>
  <c r="M52" i="2" s="1"/>
  <c r="N38" i="4"/>
  <c r="N52" i="2" s="1"/>
  <c r="O38" i="4"/>
  <c r="O52" i="2" s="1"/>
  <c r="P38" i="4"/>
  <c r="P52" i="2" s="1"/>
  <c r="Q38" i="4"/>
  <c r="Q52" i="2" s="1"/>
  <c r="R38" i="4"/>
  <c r="R52" i="2" s="1"/>
  <c r="S38" i="4"/>
  <c r="S52" i="2" s="1"/>
  <c r="T38" i="4"/>
  <c r="T52" i="2" s="1"/>
  <c r="U38" i="4"/>
  <c r="U52" i="2" s="1"/>
  <c r="V38" i="4"/>
  <c r="V52" i="2" s="1"/>
  <c r="W38" i="4"/>
  <c r="W52" i="2" s="1"/>
  <c r="X38" i="4"/>
  <c r="X52" i="2" s="1"/>
  <c r="Y38" i="4"/>
  <c r="Y52" i="2" s="1"/>
  <c r="Z38" i="4"/>
  <c r="Z52" i="2" s="1"/>
  <c r="AA38" i="4"/>
  <c r="AA52" i="2" s="1"/>
  <c r="AB38" i="4"/>
  <c r="AB52" i="2" s="1"/>
  <c r="AC38" i="4"/>
  <c r="AC52" i="2" s="1"/>
  <c r="AD38" i="4"/>
  <c r="AD52" i="2" s="1"/>
  <c r="AE38" i="4"/>
  <c r="AE52" i="2" s="1"/>
  <c r="AF38" i="4"/>
  <c r="AF52" i="2" s="1"/>
  <c r="AG38" i="4"/>
  <c r="AG52" i="2" s="1"/>
  <c r="AH38" i="4"/>
  <c r="AH52" i="2" s="1"/>
  <c r="AI38" i="4"/>
  <c r="AI52" i="2" s="1"/>
  <c r="AJ38" i="4"/>
  <c r="AJ52" i="2" s="1"/>
  <c r="AK38" i="4"/>
  <c r="AK52" i="2" s="1"/>
  <c r="AL38" i="4"/>
  <c r="AL52" i="2" s="1"/>
  <c r="AM38" i="4"/>
  <c r="AM52" i="2" s="1"/>
  <c r="AN38" i="4"/>
  <c r="AN52" i="2" s="1"/>
  <c r="AO38" i="4"/>
  <c r="AO52" i="2" s="1"/>
  <c r="AP38" i="4"/>
  <c r="AP52" i="2" s="1"/>
  <c r="AQ38" i="4"/>
  <c r="AQ52" i="2" s="1"/>
  <c r="AR38" i="4"/>
  <c r="AR52" i="2" s="1"/>
  <c r="AS38" i="4"/>
  <c r="AS52" i="2" s="1"/>
  <c r="AT38" i="4"/>
  <c r="AT52" i="2" s="1"/>
  <c r="AU38" i="4"/>
  <c r="AU52" i="2" s="1"/>
  <c r="AV38" i="4"/>
  <c r="AV52" i="2" s="1"/>
  <c r="AW38" i="4"/>
  <c r="AW52" i="2" s="1"/>
  <c r="AX38" i="4"/>
  <c r="AX52" i="2" s="1"/>
  <c r="AY38" i="4"/>
  <c r="AY52" i="2" s="1"/>
  <c r="AZ38" i="4"/>
  <c r="AZ52" i="2" s="1"/>
  <c r="BA38" i="4"/>
  <c r="BA52" i="2" s="1"/>
  <c r="BB38" i="4"/>
  <c r="BB52" i="2" s="1"/>
  <c r="BC38" i="4"/>
  <c r="BC52" i="2" s="1"/>
  <c r="BD38" i="4"/>
  <c r="BD52" i="2" s="1"/>
  <c r="BE38" i="4"/>
  <c r="BE52" i="2" s="1"/>
  <c r="BF38" i="4"/>
  <c r="BF52" i="2" s="1"/>
  <c r="BG38" i="4"/>
  <c r="BG52" i="2" s="1"/>
  <c r="BH38" i="4"/>
  <c r="BH52" i="2" s="1"/>
  <c r="BI38" i="4"/>
  <c r="BI52" i="2" s="1"/>
  <c r="BJ38" i="4"/>
  <c r="BJ52" i="2" s="1"/>
  <c r="BK38" i="4"/>
  <c r="BK52" i="2" s="1"/>
  <c r="BL38" i="4"/>
  <c r="BL52" i="2" s="1"/>
  <c r="BM38" i="4"/>
  <c r="BM52" i="2" s="1"/>
  <c r="BN38" i="4"/>
  <c r="BN52" i="2" s="1"/>
  <c r="BO38" i="4"/>
  <c r="BO52" i="2" s="1"/>
  <c r="BP38" i="4"/>
  <c r="BP52" i="2" s="1"/>
  <c r="BQ38" i="4"/>
  <c r="BQ52" i="2" s="1"/>
  <c r="BR38" i="4"/>
  <c r="BR52" i="2" s="1"/>
  <c r="BS38" i="4"/>
  <c r="BS52" i="2" s="1"/>
  <c r="BT38" i="4"/>
  <c r="BT52" i="2" s="1"/>
  <c r="BU38" i="4"/>
  <c r="BU52" i="2" s="1"/>
  <c r="BV38" i="4"/>
  <c r="BV52" i="2" s="1"/>
  <c r="BW38" i="4"/>
  <c r="BW52" i="2" s="1"/>
  <c r="BX38" i="4"/>
  <c r="BX52" i="2" s="1"/>
  <c r="BY38" i="4"/>
  <c r="BY52" i="2" s="1"/>
  <c r="BZ38" i="4"/>
  <c r="BZ52" i="2" s="1"/>
  <c r="CA38" i="4"/>
  <c r="CA52" i="2" s="1"/>
  <c r="CB38" i="4"/>
  <c r="CB52" i="2" s="1"/>
  <c r="CC38" i="4"/>
  <c r="CC52" i="2" s="1"/>
  <c r="CD38" i="4"/>
  <c r="CD52" i="2" s="1"/>
  <c r="CE38" i="4"/>
  <c r="CE52" i="2" s="1"/>
  <c r="CF38" i="4"/>
  <c r="CF52" i="2" s="1"/>
  <c r="CG38" i="4"/>
  <c r="CG52" i="2" s="1"/>
  <c r="CH38" i="4"/>
  <c r="CH52" i="2" s="1"/>
  <c r="CI38" i="4"/>
  <c r="CI52" i="2" s="1"/>
  <c r="CJ38" i="4"/>
  <c r="CJ52" i="2" s="1"/>
  <c r="D39" i="4"/>
  <c r="D53" i="2" s="1"/>
  <c r="E39" i="4"/>
  <c r="E53" i="2" s="1"/>
  <c r="F39" i="4"/>
  <c r="F53" i="2" s="1"/>
  <c r="G39" i="4"/>
  <c r="G53" i="2" s="1"/>
  <c r="H39" i="4"/>
  <c r="H53" i="2" s="1"/>
  <c r="I39" i="4"/>
  <c r="I53" i="2" s="1"/>
  <c r="J39" i="4"/>
  <c r="J53" i="2" s="1"/>
  <c r="K39" i="4"/>
  <c r="K53" i="2" s="1"/>
  <c r="L39" i="4"/>
  <c r="L53" i="2" s="1"/>
  <c r="M39" i="4"/>
  <c r="M53" i="2" s="1"/>
  <c r="N39" i="4"/>
  <c r="N53" i="2" s="1"/>
  <c r="O39" i="4"/>
  <c r="O53" i="2" s="1"/>
  <c r="P39" i="4"/>
  <c r="P53" i="2" s="1"/>
  <c r="Q39" i="4"/>
  <c r="Q53" i="2" s="1"/>
  <c r="R39" i="4"/>
  <c r="R53" i="2" s="1"/>
  <c r="S39" i="4"/>
  <c r="S53" i="2" s="1"/>
  <c r="T39" i="4"/>
  <c r="T53" i="2" s="1"/>
  <c r="U39" i="4"/>
  <c r="U53" i="2" s="1"/>
  <c r="V39" i="4"/>
  <c r="V53" i="2" s="1"/>
  <c r="W39" i="4"/>
  <c r="W53" i="2" s="1"/>
  <c r="X39" i="4"/>
  <c r="X53" i="2" s="1"/>
  <c r="Y39" i="4"/>
  <c r="Y53" i="2" s="1"/>
  <c r="Z39" i="4"/>
  <c r="Z53" i="2" s="1"/>
  <c r="AA39" i="4"/>
  <c r="AA53" i="2" s="1"/>
  <c r="AB39" i="4"/>
  <c r="AB53" i="2" s="1"/>
  <c r="AC39" i="4"/>
  <c r="AC53" i="2" s="1"/>
  <c r="AD39" i="4"/>
  <c r="AD53" i="2" s="1"/>
  <c r="AE39" i="4"/>
  <c r="AE53" i="2" s="1"/>
  <c r="AF39" i="4"/>
  <c r="AF53" i="2" s="1"/>
  <c r="AG39" i="4"/>
  <c r="AG53" i="2" s="1"/>
  <c r="AH39" i="4"/>
  <c r="AH53" i="2" s="1"/>
  <c r="AI39" i="4"/>
  <c r="AI53" i="2" s="1"/>
  <c r="AJ39" i="4"/>
  <c r="AJ53" i="2" s="1"/>
  <c r="AK39" i="4"/>
  <c r="AK53" i="2" s="1"/>
  <c r="AL39" i="4"/>
  <c r="AL53" i="2" s="1"/>
  <c r="AM39" i="4"/>
  <c r="AM53" i="2" s="1"/>
  <c r="AN39" i="4"/>
  <c r="AN53" i="2" s="1"/>
  <c r="AO39" i="4"/>
  <c r="AO53" i="2" s="1"/>
  <c r="AP39" i="4"/>
  <c r="AP53" i="2" s="1"/>
  <c r="AQ39" i="4"/>
  <c r="AQ53" i="2" s="1"/>
  <c r="AR39" i="4"/>
  <c r="AR53" i="2" s="1"/>
  <c r="AS39" i="4"/>
  <c r="AS53" i="2" s="1"/>
  <c r="AT39" i="4"/>
  <c r="AT53" i="2" s="1"/>
  <c r="AU39" i="4"/>
  <c r="AU53" i="2" s="1"/>
  <c r="AV39" i="4"/>
  <c r="AV53" i="2" s="1"/>
  <c r="AW39" i="4"/>
  <c r="AW53" i="2" s="1"/>
  <c r="AX39" i="4"/>
  <c r="AX53" i="2" s="1"/>
  <c r="AY39" i="4"/>
  <c r="AY53" i="2" s="1"/>
  <c r="AZ39" i="4"/>
  <c r="AZ53" i="2" s="1"/>
  <c r="BA39" i="4"/>
  <c r="BA53" i="2" s="1"/>
  <c r="BB39" i="4"/>
  <c r="BB53" i="2" s="1"/>
  <c r="BC39" i="4"/>
  <c r="BC53" i="2" s="1"/>
  <c r="BD39" i="4"/>
  <c r="BD53" i="2" s="1"/>
  <c r="BE39" i="4"/>
  <c r="BE53" i="2" s="1"/>
  <c r="BF39" i="4"/>
  <c r="BF53" i="2" s="1"/>
  <c r="BG39" i="4"/>
  <c r="BG53" i="2" s="1"/>
  <c r="BH39" i="4"/>
  <c r="BH53" i="2" s="1"/>
  <c r="BI39" i="4"/>
  <c r="BI53" i="2" s="1"/>
  <c r="BJ39" i="4"/>
  <c r="BJ53" i="2" s="1"/>
  <c r="BK39" i="4"/>
  <c r="BK53" i="2" s="1"/>
  <c r="BL39" i="4"/>
  <c r="BL53" i="2" s="1"/>
  <c r="BM39" i="4"/>
  <c r="BM53" i="2" s="1"/>
  <c r="BN39" i="4"/>
  <c r="BN53" i="2" s="1"/>
  <c r="BO39" i="4"/>
  <c r="BO53" i="2" s="1"/>
  <c r="BP39" i="4"/>
  <c r="BP53" i="2" s="1"/>
  <c r="BQ39" i="4"/>
  <c r="BQ53" i="2" s="1"/>
  <c r="BR39" i="4"/>
  <c r="BR53" i="2" s="1"/>
  <c r="BS39" i="4"/>
  <c r="BS53" i="2" s="1"/>
  <c r="BT39" i="4"/>
  <c r="BT53" i="2" s="1"/>
  <c r="BU39" i="4"/>
  <c r="BU53" i="2" s="1"/>
  <c r="BV39" i="4"/>
  <c r="BV53" i="2" s="1"/>
  <c r="BW39" i="4"/>
  <c r="BW53" i="2" s="1"/>
  <c r="BX39" i="4"/>
  <c r="BX53" i="2" s="1"/>
  <c r="BY39" i="4"/>
  <c r="BY53" i="2" s="1"/>
  <c r="BZ39" i="4"/>
  <c r="BZ53" i="2" s="1"/>
  <c r="CA39" i="4"/>
  <c r="CA53" i="2" s="1"/>
  <c r="CB39" i="4"/>
  <c r="CB53" i="2" s="1"/>
  <c r="CC39" i="4"/>
  <c r="CC53" i="2" s="1"/>
  <c r="CD39" i="4"/>
  <c r="CD53" i="2" s="1"/>
  <c r="CE39" i="4"/>
  <c r="CE53" i="2" s="1"/>
  <c r="CF39" i="4"/>
  <c r="CF53" i="2" s="1"/>
  <c r="CG39" i="4"/>
  <c r="CG53" i="2" s="1"/>
  <c r="CH39" i="4"/>
  <c r="CH53" i="2" s="1"/>
  <c r="CI39" i="4"/>
  <c r="CI53" i="2" s="1"/>
  <c r="CJ39" i="4"/>
  <c r="CJ53" i="2" s="1"/>
  <c r="C39" i="4"/>
  <c r="C53" i="2" s="1"/>
  <c r="C38" i="4"/>
  <c r="C52" i="2" s="1"/>
  <c r="C37" i="4"/>
  <c r="C51" i="2" s="1"/>
  <c r="C36" i="4"/>
  <c r="C50" i="2" s="1"/>
  <c r="C35" i="4"/>
  <c r="C49" i="2" s="1"/>
  <c r="C34" i="4"/>
  <c r="C48" i="2" s="1"/>
  <c r="C33" i="4"/>
  <c r="C47" i="2" s="1"/>
  <c r="C32" i="4"/>
  <c r="C46" i="2" s="1"/>
  <c r="C31" i="4"/>
  <c r="C45" i="2" s="1"/>
  <c r="C30" i="4"/>
  <c r="C44" i="2" s="1"/>
  <c r="C29" i="4"/>
  <c r="C43" i="2" s="1"/>
  <c r="C28" i="4"/>
  <c r="C42" i="2" s="1"/>
  <c r="C27" i="4"/>
  <c r="C41" i="2" s="1"/>
  <c r="C26" i="4"/>
  <c r="C40" i="2" s="1"/>
  <c r="C25" i="4"/>
  <c r="C39" i="2" s="1"/>
  <c r="C24" i="4"/>
  <c r="C38" i="2" s="1"/>
  <c r="AL39" i="2"/>
  <c r="AM39" i="2"/>
  <c r="BJ43" i="2"/>
  <c r="F9" i="9"/>
  <c r="E7" i="8"/>
  <c r="D7" i="8"/>
  <c r="C7" i="8"/>
  <c r="E6" i="8"/>
  <c r="D6" i="8"/>
  <c r="C6" i="8"/>
  <c r="D5" i="8"/>
  <c r="E12" i="7"/>
  <c r="D12" i="7"/>
  <c r="D8" i="8" s="1"/>
  <c r="C12" i="7"/>
  <c r="C8" i="8" s="1"/>
  <c r="E11" i="7"/>
  <c r="E5" i="8" s="1"/>
  <c r="D11" i="7"/>
  <c r="C11" i="7"/>
  <c r="E10" i="7"/>
  <c r="F10" i="7" s="1"/>
  <c r="D10" i="7"/>
  <c r="C10" i="7"/>
  <c r="E9" i="7"/>
  <c r="D9" i="7"/>
  <c r="F9" i="7" s="1"/>
  <c r="C9" i="7"/>
  <c r="E7" i="7"/>
  <c r="D7" i="7"/>
  <c r="C7" i="7"/>
  <c r="F7" i="7" s="1"/>
  <c r="E6" i="7"/>
  <c r="E2" i="8" s="1"/>
  <c r="D6" i="7"/>
  <c r="D2" i="8" s="1"/>
  <c r="C6" i="7"/>
  <c r="E4" i="7"/>
  <c r="D4" i="7"/>
  <c r="C4" i="7"/>
  <c r="F3" i="7"/>
  <c r="E3" i="7"/>
  <c r="D3" i="7"/>
  <c r="C3" i="7"/>
  <c r="E2" i="7"/>
  <c r="D2" i="7"/>
  <c r="C2" i="7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A38" i="2"/>
  <c r="B38" i="2"/>
  <c r="A39" i="2"/>
  <c r="B39" i="2"/>
  <c r="AY39" i="2"/>
  <c r="A40" i="2"/>
  <c r="B40" i="2"/>
  <c r="BJ40" i="2"/>
  <c r="BK40" i="2"/>
  <c r="A41" i="2"/>
  <c r="B41" i="2"/>
  <c r="K41" i="2"/>
  <c r="A42" i="2"/>
  <c r="B42" i="2"/>
  <c r="U42" i="2"/>
  <c r="A43" i="2"/>
  <c r="B43" i="2"/>
  <c r="A44" i="2"/>
  <c r="B44" i="2"/>
  <c r="J44" i="2"/>
  <c r="A45" i="2"/>
  <c r="B45" i="2"/>
  <c r="Y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B22" i="2"/>
  <c r="A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B21" i="2"/>
  <c r="A21" i="2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B2" i="4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B13" i="2"/>
  <c r="B14" i="2"/>
  <c r="B15" i="2"/>
  <c r="B16" i="2"/>
  <c r="B17" i="2"/>
  <c r="B18" i="2"/>
  <c r="B19" i="2"/>
  <c r="B20" i="2"/>
  <c r="BK13" i="2"/>
  <c r="U25" i="1"/>
  <c r="U26" i="1" s="1"/>
  <c r="D16" i="2"/>
  <c r="E15" i="2"/>
  <c r="J16" i="2"/>
  <c r="K16" i="2"/>
  <c r="L16" i="2"/>
  <c r="N15" i="2"/>
  <c r="O15" i="2"/>
  <c r="Q16" i="2"/>
  <c r="R16" i="2"/>
  <c r="S16" i="2"/>
  <c r="T16" i="2"/>
  <c r="N16" i="2"/>
  <c r="D18" i="2"/>
  <c r="E18" i="2"/>
  <c r="F18" i="2"/>
  <c r="G18" i="2"/>
  <c r="P18" i="2"/>
  <c r="Q18" i="2"/>
  <c r="D19" i="2"/>
  <c r="E19" i="2"/>
  <c r="F19" i="2"/>
  <c r="G19" i="2"/>
  <c r="H19" i="2"/>
  <c r="I19" i="2"/>
  <c r="J20" i="2"/>
  <c r="K19" i="2"/>
  <c r="L19" i="2"/>
  <c r="R20" i="2"/>
  <c r="S20" i="2"/>
  <c r="H20" i="2"/>
  <c r="C16" i="2"/>
  <c r="C18" i="2"/>
  <c r="C19" i="2"/>
  <c r="C20" i="2"/>
  <c r="C13" i="2"/>
  <c r="CJ38" i="2" l="1"/>
  <c r="CJ41" i="2"/>
  <c r="CL24" i="4"/>
  <c r="CM24" i="4" s="1"/>
  <c r="CK38" i="2"/>
  <c r="CJ46" i="2"/>
  <c r="CJ42" i="2"/>
  <c r="CK41" i="2"/>
  <c r="CL27" i="4"/>
  <c r="CK42" i="2"/>
  <c r="CL28" i="4"/>
  <c r="CL31" i="4"/>
  <c r="CK45" i="2"/>
  <c r="CK48" i="2"/>
  <c r="CL34" i="4"/>
  <c r="CL32" i="4"/>
  <c r="CK46" i="2"/>
  <c r="CJ45" i="2"/>
  <c r="CK30" i="4"/>
  <c r="CK29" i="4"/>
  <c r="CK26" i="4"/>
  <c r="CK25" i="4"/>
  <c r="CJ48" i="2"/>
  <c r="CK39" i="4"/>
  <c r="CK38" i="4"/>
  <c r="CK37" i="4"/>
  <c r="CK36" i="4"/>
  <c r="CK35" i="4"/>
  <c r="CK33" i="4"/>
  <c r="D3" i="8"/>
  <c r="H3" i="9"/>
  <c r="H9" i="9"/>
  <c r="H5" i="9"/>
  <c r="H7" i="9"/>
  <c r="K7" i="9"/>
  <c r="K5" i="9"/>
  <c r="F4" i="7"/>
  <c r="C2" i="8"/>
  <c r="F6" i="7"/>
  <c r="F5" i="9"/>
  <c r="G7" i="9"/>
  <c r="G5" i="9"/>
  <c r="G9" i="9"/>
  <c r="J9" i="9"/>
  <c r="I9" i="9"/>
  <c r="J7" i="9"/>
  <c r="J7" i="10" s="1"/>
  <c r="I7" i="9"/>
  <c r="J5" i="9"/>
  <c r="I5" i="9"/>
  <c r="E3" i="8"/>
  <c r="K3" i="9"/>
  <c r="E7" i="9"/>
  <c r="E7" i="10" s="1"/>
  <c r="E3" i="9"/>
  <c r="E3" i="10" s="1"/>
  <c r="E10" i="9"/>
  <c r="F12" i="7"/>
  <c r="F11" i="7"/>
  <c r="E8" i="8"/>
  <c r="K9" i="9" s="1"/>
  <c r="F7" i="9"/>
  <c r="F3" i="9"/>
  <c r="C3" i="8"/>
  <c r="I3" i="9"/>
  <c r="F2" i="7"/>
  <c r="D7" i="9"/>
  <c r="C5" i="8"/>
  <c r="C8" i="9"/>
  <c r="G3" i="9"/>
  <c r="J3" i="9"/>
  <c r="D8" i="9"/>
  <c r="J4" i="9"/>
  <c r="D10" i="9"/>
  <c r="D3" i="9"/>
  <c r="D3" i="10" s="1"/>
  <c r="G10" i="9"/>
  <c r="J15" i="2"/>
  <c r="E20" i="2"/>
  <c r="F20" i="2"/>
  <c r="D20" i="2"/>
  <c r="E16" i="2"/>
  <c r="G20" i="2"/>
  <c r="C17" i="2"/>
  <c r="L15" i="2"/>
  <c r="O16" i="2"/>
  <c r="K15" i="2"/>
  <c r="K20" i="2"/>
  <c r="I20" i="2"/>
  <c r="F17" i="2"/>
  <c r="G17" i="2"/>
  <c r="D17" i="2"/>
  <c r="E17" i="2"/>
  <c r="L20" i="2"/>
  <c r="BL24" i="1"/>
  <c r="V24" i="1"/>
  <c r="W24" i="1" s="1"/>
  <c r="X24" i="1" s="1"/>
  <c r="BK25" i="1"/>
  <c r="T15" i="2"/>
  <c r="S15" i="2"/>
  <c r="R15" i="2"/>
  <c r="Q15" i="2"/>
  <c r="D15" i="2"/>
  <c r="J19" i="2"/>
  <c r="U13" i="2"/>
  <c r="U15" i="2"/>
  <c r="V26" i="1"/>
  <c r="U27" i="1"/>
  <c r="I15" i="2"/>
  <c r="I16" i="2"/>
  <c r="G15" i="2"/>
  <c r="G16" i="2"/>
  <c r="F15" i="2"/>
  <c r="F16" i="2"/>
  <c r="O18" i="2"/>
  <c r="O17" i="2"/>
  <c r="M17" i="2"/>
  <c r="M18" i="2"/>
  <c r="P17" i="2"/>
  <c r="T18" i="2"/>
  <c r="T17" i="2"/>
  <c r="R18" i="2"/>
  <c r="R17" i="2"/>
  <c r="N17" i="2"/>
  <c r="N18" i="2"/>
  <c r="K17" i="2"/>
  <c r="K18" i="2"/>
  <c r="J18" i="2"/>
  <c r="J17" i="2"/>
  <c r="I17" i="2"/>
  <c r="I18" i="2"/>
  <c r="M15" i="2"/>
  <c r="M16" i="2"/>
  <c r="H15" i="2"/>
  <c r="H16" i="2"/>
  <c r="S18" i="2"/>
  <c r="S17" i="2"/>
  <c r="V25" i="1"/>
  <c r="U14" i="2"/>
  <c r="L17" i="2"/>
  <c r="L18" i="2"/>
  <c r="Q17" i="2"/>
  <c r="T20" i="2"/>
  <c r="T19" i="2"/>
  <c r="H18" i="2"/>
  <c r="H17" i="2"/>
  <c r="C15" i="2"/>
  <c r="P20" i="2"/>
  <c r="P19" i="2"/>
  <c r="N20" i="2"/>
  <c r="N19" i="2"/>
  <c r="Q20" i="2"/>
  <c r="Q19" i="2"/>
  <c r="O20" i="2"/>
  <c r="O19" i="2"/>
  <c r="R19" i="2"/>
  <c r="M20" i="2"/>
  <c r="M19" i="2"/>
  <c r="S19" i="2"/>
  <c r="P16" i="2"/>
  <c r="P15" i="2"/>
  <c r="D24" i="1"/>
  <c r="C25" i="1"/>
  <c r="C14" i="2" s="1"/>
  <c r="CM38" i="2" l="1"/>
  <c r="CN24" i="4"/>
  <c r="CO24" i="4" s="1"/>
  <c r="CL38" i="2"/>
  <c r="CL33" i="4"/>
  <c r="CK47" i="2"/>
  <c r="CL36" i="4"/>
  <c r="CK50" i="2"/>
  <c r="CL38" i="4"/>
  <c r="CK52" i="2"/>
  <c r="CL46" i="2"/>
  <c r="CM32" i="4"/>
  <c r="CL42" i="2"/>
  <c r="CM28" i="4"/>
  <c r="CK49" i="2"/>
  <c r="CL35" i="4"/>
  <c r="CK51" i="2"/>
  <c r="CL37" i="4"/>
  <c r="CL25" i="4"/>
  <c r="CK39" i="2"/>
  <c r="CL26" i="4"/>
  <c r="CK40" i="2"/>
  <c r="CK44" i="2"/>
  <c r="CL30" i="4"/>
  <c r="CL39" i="4"/>
  <c r="CK53" i="2"/>
  <c r="CL29" i="4"/>
  <c r="CK43" i="2"/>
  <c r="CM34" i="4"/>
  <c r="CL48" i="2"/>
  <c r="CM31" i="4"/>
  <c r="CL45" i="2"/>
  <c r="CM27" i="4"/>
  <c r="CL41" i="2"/>
  <c r="K9" i="10"/>
  <c r="CI8" i="11" s="1"/>
  <c r="G10" i="10"/>
  <c r="E10" i="10"/>
  <c r="G6" i="9"/>
  <c r="G6" i="10" s="1"/>
  <c r="G8" i="9"/>
  <c r="G4" i="9"/>
  <c r="F4" i="9"/>
  <c r="K3" i="10"/>
  <c r="CI2" i="11" s="1"/>
  <c r="J10" i="9"/>
  <c r="J10" i="10" s="1"/>
  <c r="J6" i="9"/>
  <c r="J8" i="9"/>
  <c r="J8" i="10" s="1"/>
  <c r="I8" i="9"/>
  <c r="J3" i="10"/>
  <c r="D7" i="10"/>
  <c r="I4" i="9"/>
  <c r="I4" i="10" s="1"/>
  <c r="G9" i="10"/>
  <c r="I6" i="9"/>
  <c r="I6" i="10" s="1"/>
  <c r="G7" i="10"/>
  <c r="N3" i="10"/>
  <c r="D10" i="10"/>
  <c r="D8" i="10"/>
  <c r="G3" i="10"/>
  <c r="CG6" i="11"/>
  <c r="CF6" i="11"/>
  <c r="CE6" i="11"/>
  <c r="BY6" i="11"/>
  <c r="CD6" i="11"/>
  <c r="CC6" i="11"/>
  <c r="CB6" i="11"/>
  <c r="CA6" i="11"/>
  <c r="BZ6" i="11"/>
  <c r="CH6" i="11"/>
  <c r="I10" i="9"/>
  <c r="F6" i="9"/>
  <c r="D6" i="9"/>
  <c r="D4" i="9"/>
  <c r="D4" i="10" s="1"/>
  <c r="C4" i="9"/>
  <c r="C6" i="9"/>
  <c r="F8" i="9"/>
  <c r="F8" i="10" s="1"/>
  <c r="D5" i="9"/>
  <c r="D5" i="10" s="1"/>
  <c r="C5" i="9"/>
  <c r="C5" i="10" s="1"/>
  <c r="E9" i="9"/>
  <c r="E9" i="10" s="1"/>
  <c r="D9" i="9"/>
  <c r="D9" i="10" s="1"/>
  <c r="C9" i="9"/>
  <c r="F10" i="9"/>
  <c r="F10" i="10" s="1"/>
  <c r="K4" i="9"/>
  <c r="K4" i="10" s="1"/>
  <c r="CI3" i="11" s="1"/>
  <c r="K5" i="10"/>
  <c r="CI4" i="11" s="1"/>
  <c r="K7" i="10"/>
  <c r="CI6" i="11" s="1"/>
  <c r="K6" i="9"/>
  <c r="K6" i="10" s="1"/>
  <c r="CI5" i="11" s="1"/>
  <c r="K10" i="9"/>
  <c r="K10" i="10" s="1"/>
  <c r="CI9" i="11" s="1"/>
  <c r="C3" i="9"/>
  <c r="C3" i="10" s="1"/>
  <c r="H7" i="10"/>
  <c r="CI14" i="11" s="1"/>
  <c r="C7" i="9"/>
  <c r="C7" i="10" s="1"/>
  <c r="H5" i="10"/>
  <c r="CI12" i="11" s="1"/>
  <c r="C10" i="9"/>
  <c r="K8" i="9"/>
  <c r="H8" i="9"/>
  <c r="E4" i="9"/>
  <c r="H4" i="9"/>
  <c r="E5" i="9"/>
  <c r="E5" i="10" s="1"/>
  <c r="H6" i="9"/>
  <c r="E8" i="9"/>
  <c r="E8" i="10" s="1"/>
  <c r="H10" i="9"/>
  <c r="E6" i="9"/>
  <c r="H3" i="10"/>
  <c r="CI10" i="11" s="1"/>
  <c r="V13" i="2"/>
  <c r="W13" i="2"/>
  <c r="BK14" i="2"/>
  <c r="BK26" i="1"/>
  <c r="BL25" i="1"/>
  <c r="BL13" i="2"/>
  <c r="BM24" i="1"/>
  <c r="Y24" i="1"/>
  <c r="X13" i="2"/>
  <c r="V15" i="2"/>
  <c r="W26" i="1"/>
  <c r="W25" i="1"/>
  <c r="V14" i="2"/>
  <c r="D25" i="1"/>
  <c r="D14" i="2" s="1"/>
  <c r="D13" i="2"/>
  <c r="E24" i="1"/>
  <c r="U28" i="1"/>
  <c r="U16" i="2"/>
  <c r="V27" i="1"/>
  <c r="CN38" i="2" l="1"/>
  <c r="CL51" i="2"/>
  <c r="CM37" i="4"/>
  <c r="CM42" i="2"/>
  <c r="CN28" i="4"/>
  <c r="CN31" i="4"/>
  <c r="CM45" i="2"/>
  <c r="CM29" i="4"/>
  <c r="CL43" i="2"/>
  <c r="CL44" i="2"/>
  <c r="CM30" i="4"/>
  <c r="CM25" i="4"/>
  <c r="CL39" i="2"/>
  <c r="CL52" i="2"/>
  <c r="CM38" i="4"/>
  <c r="CM41" i="2"/>
  <c r="CN27" i="4"/>
  <c r="CL40" i="2"/>
  <c r="CM26" i="4"/>
  <c r="CL49" i="2"/>
  <c r="CM35" i="4"/>
  <c r="CM46" i="2"/>
  <c r="CN32" i="4"/>
  <c r="CN34" i="4"/>
  <c r="CM48" i="2"/>
  <c r="CL53" i="2"/>
  <c r="CM39" i="4"/>
  <c r="CL50" i="2"/>
  <c r="CM36" i="4"/>
  <c r="CL47" i="2"/>
  <c r="CM33" i="4"/>
  <c r="CP24" i="4"/>
  <c r="CO38" i="2"/>
  <c r="N10" i="10"/>
  <c r="CH17" i="11"/>
  <c r="CG17" i="11"/>
  <c r="CF17" i="11"/>
  <c r="CE17" i="11"/>
  <c r="CD17" i="11"/>
  <c r="CC17" i="11"/>
  <c r="CB17" i="11"/>
  <c r="CA17" i="11"/>
  <c r="BZ17" i="11"/>
  <c r="BY17" i="11"/>
  <c r="F3" i="10"/>
  <c r="BS5" i="11"/>
  <c r="BP5" i="11"/>
  <c r="BX5" i="11"/>
  <c r="BW5" i="11"/>
  <c r="BV5" i="11"/>
  <c r="BU5" i="11"/>
  <c r="BT5" i="11"/>
  <c r="BR5" i="11"/>
  <c r="BQ5" i="11"/>
  <c r="BK5" i="11"/>
  <c r="BJ5" i="11"/>
  <c r="BO5" i="11"/>
  <c r="BN5" i="11"/>
  <c r="BM5" i="11"/>
  <c r="BL5" i="11"/>
  <c r="C9" i="10"/>
  <c r="F9" i="10"/>
  <c r="M7" i="10"/>
  <c r="CH13" i="11"/>
  <c r="CG13" i="11"/>
  <c r="CC13" i="11"/>
  <c r="CD13" i="11"/>
  <c r="CB13" i="11"/>
  <c r="CF13" i="11"/>
  <c r="CE13" i="11"/>
  <c r="CA13" i="11"/>
  <c r="BZ13" i="11"/>
  <c r="BY13" i="11"/>
  <c r="F7" i="10"/>
  <c r="L7" i="10" s="1"/>
  <c r="BZ14" i="11"/>
  <c r="BY14" i="11"/>
  <c r="CA14" i="11"/>
  <c r="CG14" i="11"/>
  <c r="CD14" i="11"/>
  <c r="CB14" i="11"/>
  <c r="CF14" i="11"/>
  <c r="CC14" i="11"/>
  <c r="CH14" i="11"/>
  <c r="CE14" i="11"/>
  <c r="BX17" i="11"/>
  <c r="BL17" i="11"/>
  <c r="BK17" i="11"/>
  <c r="BJ17" i="11"/>
  <c r="BW17" i="11"/>
  <c r="BV17" i="11"/>
  <c r="BU17" i="11"/>
  <c r="BT17" i="11"/>
  <c r="BS17" i="11"/>
  <c r="BP17" i="11"/>
  <c r="BO17" i="11"/>
  <c r="BR17" i="11"/>
  <c r="BQ17" i="11"/>
  <c r="BN17" i="11"/>
  <c r="BM17" i="11"/>
  <c r="CC16" i="11"/>
  <c r="CB16" i="11"/>
  <c r="CA16" i="11"/>
  <c r="BZ16" i="11"/>
  <c r="BY16" i="11"/>
  <c r="CD16" i="11"/>
  <c r="CH16" i="11"/>
  <c r="CG16" i="11"/>
  <c r="CF16" i="11"/>
  <c r="CE16" i="11"/>
  <c r="J9" i="10"/>
  <c r="I9" i="10"/>
  <c r="I7" i="10"/>
  <c r="C6" i="10"/>
  <c r="CG2" i="11"/>
  <c r="CH2" i="11"/>
  <c r="CF2" i="11"/>
  <c r="CE2" i="11"/>
  <c r="CB2" i="11"/>
  <c r="CA2" i="11"/>
  <c r="BZ2" i="11"/>
  <c r="CD2" i="11"/>
  <c r="CC2" i="11"/>
  <c r="BY2" i="11"/>
  <c r="CE7" i="11"/>
  <c r="CB7" i="11"/>
  <c r="CH7" i="11"/>
  <c r="CG7" i="11"/>
  <c r="CF7" i="11"/>
  <c r="CD7" i="11"/>
  <c r="CC7" i="11"/>
  <c r="BZ7" i="11"/>
  <c r="BY7" i="11"/>
  <c r="CA7" i="11"/>
  <c r="F4" i="10"/>
  <c r="BY10" i="11"/>
  <c r="CH10" i="11"/>
  <c r="CG10" i="11"/>
  <c r="CF10" i="11"/>
  <c r="CE10" i="11"/>
  <c r="CD10" i="11"/>
  <c r="BZ10" i="11"/>
  <c r="CC10" i="11"/>
  <c r="CB10" i="11"/>
  <c r="CA10" i="11"/>
  <c r="M10" i="10"/>
  <c r="BO3" i="11"/>
  <c r="BN3" i="11"/>
  <c r="BM3" i="11"/>
  <c r="BL3" i="11"/>
  <c r="BK3" i="11"/>
  <c r="BJ3" i="11"/>
  <c r="BX3" i="11"/>
  <c r="BW3" i="11"/>
  <c r="BV3" i="11"/>
  <c r="BU3" i="11"/>
  <c r="BS3" i="11"/>
  <c r="BR3" i="11"/>
  <c r="BQ3" i="11"/>
  <c r="BP3" i="11"/>
  <c r="BT3" i="11"/>
  <c r="BW15" i="11"/>
  <c r="BV15" i="11"/>
  <c r="BU15" i="11"/>
  <c r="BT15" i="11"/>
  <c r="BS15" i="11"/>
  <c r="BR15" i="11"/>
  <c r="BO15" i="11"/>
  <c r="BQ15" i="11"/>
  <c r="BP15" i="11"/>
  <c r="BN15" i="11"/>
  <c r="BM15" i="11"/>
  <c r="BX15" i="11"/>
  <c r="BL15" i="11"/>
  <c r="BK15" i="11"/>
  <c r="BJ15" i="11"/>
  <c r="C8" i="10"/>
  <c r="J5" i="10"/>
  <c r="C4" i="10"/>
  <c r="L4" i="10" s="1"/>
  <c r="I5" i="10"/>
  <c r="E6" i="10"/>
  <c r="N6" i="10" s="1"/>
  <c r="D6" i="10"/>
  <c r="I8" i="10"/>
  <c r="H10" i="10"/>
  <c r="CI17" i="11" s="1"/>
  <c r="F5" i="10"/>
  <c r="N8" i="10"/>
  <c r="F6" i="10"/>
  <c r="J6" i="10"/>
  <c r="H6" i="10"/>
  <c r="CI13" i="11" s="1"/>
  <c r="I3" i="10"/>
  <c r="CB9" i="11"/>
  <c r="CA9" i="11"/>
  <c r="BZ9" i="11"/>
  <c r="CE9" i="11"/>
  <c r="CD9" i="11"/>
  <c r="CG9" i="11"/>
  <c r="CF9" i="11"/>
  <c r="CH9" i="11"/>
  <c r="CC9" i="11"/>
  <c r="BY9" i="11"/>
  <c r="N5" i="10"/>
  <c r="I10" i="10"/>
  <c r="H4" i="10"/>
  <c r="CI11" i="11" s="1"/>
  <c r="G5" i="10"/>
  <c r="J4" i="10"/>
  <c r="E4" i="10"/>
  <c r="N4" i="10" s="1"/>
  <c r="N7" i="10"/>
  <c r="H8" i="10"/>
  <c r="CI15" i="11" s="1"/>
  <c r="M3" i="10"/>
  <c r="K8" i="10"/>
  <c r="CI7" i="11" s="1"/>
  <c r="H9" i="10"/>
  <c r="CI16" i="11" s="1"/>
  <c r="G4" i="10"/>
  <c r="C10" i="10"/>
  <c r="L10" i="10" s="1"/>
  <c r="G8" i="10"/>
  <c r="BM13" i="2"/>
  <c r="BN24" i="1"/>
  <c r="BM25" i="1"/>
  <c r="BL14" i="2"/>
  <c r="BL26" i="1"/>
  <c r="BK15" i="2"/>
  <c r="BK27" i="1"/>
  <c r="Z24" i="1"/>
  <c r="Y13" i="2"/>
  <c r="W27" i="1"/>
  <c r="V16" i="2"/>
  <c r="X25" i="1"/>
  <c r="W14" i="2"/>
  <c r="U29" i="1"/>
  <c r="U17" i="2"/>
  <c r="V28" i="1"/>
  <c r="F24" i="1"/>
  <c r="E13" i="2"/>
  <c r="E25" i="1"/>
  <c r="E14" i="2" s="1"/>
  <c r="W15" i="2"/>
  <c r="X26" i="1"/>
  <c r="CN33" i="4" l="1"/>
  <c r="CM47" i="2"/>
  <c r="CN39" i="4"/>
  <c r="CM53" i="2"/>
  <c r="CN36" i="4"/>
  <c r="CM50" i="2"/>
  <c r="CN46" i="2"/>
  <c r="CO32" i="4"/>
  <c r="CM49" i="2"/>
  <c r="CN35" i="4"/>
  <c r="CN42" i="2"/>
  <c r="CO28" i="4"/>
  <c r="CN48" i="2"/>
  <c r="CO34" i="4"/>
  <c r="CO27" i="4"/>
  <c r="CN41" i="2"/>
  <c r="CM44" i="2"/>
  <c r="CN30" i="4"/>
  <c r="CN29" i="4"/>
  <c r="CM43" i="2"/>
  <c r="CM40" i="2"/>
  <c r="CN26" i="4"/>
  <c r="CM52" i="2"/>
  <c r="CN38" i="4"/>
  <c r="CN25" i="4"/>
  <c r="CM39" i="2"/>
  <c r="CN45" i="2"/>
  <c r="CO31" i="4"/>
  <c r="CM51" i="2"/>
  <c r="CN37" i="4"/>
  <c r="CQ24" i="4"/>
  <c r="CP38" i="2"/>
  <c r="L9" i="10"/>
  <c r="CE11" i="11"/>
  <c r="CD11" i="11"/>
  <c r="CC11" i="11"/>
  <c r="CB11" i="11"/>
  <c r="CA11" i="11"/>
  <c r="BZ11" i="11"/>
  <c r="BY11" i="11"/>
  <c r="CF11" i="11"/>
  <c r="CH11" i="11"/>
  <c r="CG11" i="11"/>
  <c r="BK13" i="11"/>
  <c r="BJ13" i="11"/>
  <c r="BT13" i="11"/>
  <c r="BS13" i="11"/>
  <c r="BR13" i="11"/>
  <c r="BQ13" i="11"/>
  <c r="BP13" i="11"/>
  <c r="BO13" i="11"/>
  <c r="BN13" i="11"/>
  <c r="BM13" i="11"/>
  <c r="BL13" i="11"/>
  <c r="BU13" i="11"/>
  <c r="BW13" i="11"/>
  <c r="BV13" i="11"/>
  <c r="BX13" i="11"/>
  <c r="BN12" i="11"/>
  <c r="BM12" i="11"/>
  <c r="BL12" i="11"/>
  <c r="BK12" i="11"/>
  <c r="BW12" i="11"/>
  <c r="BS12" i="11"/>
  <c r="BQ12" i="11"/>
  <c r="BJ12" i="11"/>
  <c r="BP12" i="11"/>
  <c r="BX12" i="11"/>
  <c r="BT12" i="11"/>
  <c r="BO12" i="11"/>
  <c r="BV12" i="11"/>
  <c r="BU12" i="11"/>
  <c r="BR12" i="11"/>
  <c r="BU16" i="11"/>
  <c r="BX16" i="11"/>
  <c r="BW16" i="11"/>
  <c r="BR16" i="11"/>
  <c r="BV16" i="11"/>
  <c r="BT16" i="11"/>
  <c r="BS16" i="11"/>
  <c r="BP16" i="11"/>
  <c r="BL16" i="11"/>
  <c r="BK16" i="11"/>
  <c r="BQ16" i="11"/>
  <c r="BO16" i="11"/>
  <c r="BN16" i="11"/>
  <c r="BM16" i="11"/>
  <c r="BJ16" i="11"/>
  <c r="M6" i="10"/>
  <c r="M4" i="10"/>
  <c r="CD4" i="11"/>
  <c r="CC4" i="11"/>
  <c r="CB4" i="11"/>
  <c r="CE4" i="11"/>
  <c r="CA4" i="11"/>
  <c r="BZ4" i="11"/>
  <c r="CH4" i="11"/>
  <c r="CG4" i="11"/>
  <c r="CF4" i="11"/>
  <c r="BY4" i="11"/>
  <c r="CC12" i="11"/>
  <c r="BZ12" i="11"/>
  <c r="CH12" i="11"/>
  <c r="CG12" i="11"/>
  <c r="CF12" i="11"/>
  <c r="CE12" i="11"/>
  <c r="CD12" i="11"/>
  <c r="CB12" i="11"/>
  <c r="CA12" i="11"/>
  <c r="BY12" i="11"/>
  <c r="N9" i="10"/>
  <c r="BP7" i="11"/>
  <c r="BO7" i="11"/>
  <c r="BN7" i="11"/>
  <c r="BU7" i="11"/>
  <c r="BT7" i="11"/>
  <c r="BW7" i="11"/>
  <c r="BV7" i="11"/>
  <c r="BK7" i="11"/>
  <c r="BX7" i="11"/>
  <c r="BS7" i="11"/>
  <c r="BR7" i="11"/>
  <c r="BQ7" i="11"/>
  <c r="BM7" i="11"/>
  <c r="BL7" i="11"/>
  <c r="BJ7" i="11"/>
  <c r="CF15" i="11"/>
  <c r="CE15" i="11"/>
  <c r="CD15" i="11"/>
  <c r="BY15" i="11"/>
  <c r="CH15" i="11"/>
  <c r="CG15" i="11"/>
  <c r="CB15" i="11"/>
  <c r="CA15" i="11"/>
  <c r="CC15" i="11"/>
  <c r="BZ15" i="11"/>
  <c r="BU4" i="11"/>
  <c r="BT4" i="11"/>
  <c r="BS4" i="11"/>
  <c r="BM4" i="11"/>
  <c r="BJ4" i="11"/>
  <c r="BR4" i="11"/>
  <c r="BQ4" i="11"/>
  <c r="BP4" i="11"/>
  <c r="BO4" i="11"/>
  <c r="BN4" i="11"/>
  <c r="BL4" i="11"/>
  <c r="BK4" i="11"/>
  <c r="BX4" i="11"/>
  <c r="BW4" i="11"/>
  <c r="BV4" i="11"/>
  <c r="L8" i="10"/>
  <c r="L6" i="10"/>
  <c r="CF3" i="11"/>
  <c r="CE3" i="11"/>
  <c r="CD3" i="11"/>
  <c r="CC3" i="11"/>
  <c r="CB3" i="11"/>
  <c r="BY3" i="11"/>
  <c r="CA3" i="11"/>
  <c r="BZ3" i="11"/>
  <c r="CG3" i="11"/>
  <c r="CH3" i="11"/>
  <c r="BV6" i="11"/>
  <c r="BX6" i="11"/>
  <c r="BW6" i="11"/>
  <c r="BJ6" i="11"/>
  <c r="BP6" i="11"/>
  <c r="BO6" i="11"/>
  <c r="BN6" i="11"/>
  <c r="BM6" i="11"/>
  <c r="BL6" i="11"/>
  <c r="BK6" i="11"/>
  <c r="BU6" i="11"/>
  <c r="BT6" i="11"/>
  <c r="BS6" i="11"/>
  <c r="BR6" i="11"/>
  <c r="BQ6" i="11"/>
  <c r="L5" i="10"/>
  <c r="BM8" i="11"/>
  <c r="BL8" i="11"/>
  <c r="BK8" i="11"/>
  <c r="BJ8" i="11"/>
  <c r="BV8" i="11"/>
  <c r="BU8" i="11"/>
  <c r="BT8" i="11"/>
  <c r="BX8" i="11"/>
  <c r="BW8" i="11"/>
  <c r="BS8" i="11"/>
  <c r="BP8" i="11"/>
  <c r="BO8" i="11"/>
  <c r="BR8" i="11"/>
  <c r="BQ8" i="11"/>
  <c r="BN8" i="11"/>
  <c r="BS9" i="11"/>
  <c r="BR9" i="11"/>
  <c r="BQ9" i="11"/>
  <c r="BK9" i="11"/>
  <c r="BP9" i="11"/>
  <c r="BO9" i="11"/>
  <c r="BN9" i="11"/>
  <c r="BM9" i="11"/>
  <c r="BL9" i="11"/>
  <c r="BJ9" i="11"/>
  <c r="BV9" i="11"/>
  <c r="BU9" i="11"/>
  <c r="BX9" i="11"/>
  <c r="BW9" i="11"/>
  <c r="BT9" i="11"/>
  <c r="CH8" i="11"/>
  <c r="BZ8" i="11"/>
  <c r="BY8" i="11"/>
  <c r="CG8" i="11"/>
  <c r="CF8" i="11"/>
  <c r="CE8" i="11"/>
  <c r="CD8" i="11"/>
  <c r="CC8" i="11"/>
  <c r="CB8" i="11"/>
  <c r="CA8" i="11"/>
  <c r="M9" i="10"/>
  <c r="BX10" i="11"/>
  <c r="BW10" i="11"/>
  <c r="BQ10" i="11"/>
  <c r="BN10" i="11"/>
  <c r="BV10" i="11"/>
  <c r="BU10" i="11"/>
  <c r="BT10" i="11"/>
  <c r="BS10" i="11"/>
  <c r="BR10" i="11"/>
  <c r="BP10" i="11"/>
  <c r="BO10" i="11"/>
  <c r="BM10" i="11"/>
  <c r="BJ10" i="11"/>
  <c r="BL10" i="11"/>
  <c r="BK10" i="11"/>
  <c r="M8" i="10"/>
  <c r="L3" i="10"/>
  <c r="M5" i="10"/>
  <c r="BQ14" i="11"/>
  <c r="BP14" i="11"/>
  <c r="BO14" i="11"/>
  <c r="BN14" i="11"/>
  <c r="BM14" i="11"/>
  <c r="BL14" i="11"/>
  <c r="BK14" i="11"/>
  <c r="BJ14" i="11"/>
  <c r="BX14" i="11"/>
  <c r="BV14" i="11"/>
  <c r="BW14" i="11"/>
  <c r="BT14" i="11"/>
  <c r="BU14" i="11"/>
  <c r="BS14" i="11"/>
  <c r="BR14" i="11"/>
  <c r="BW11" i="11"/>
  <c r="BX11" i="11"/>
  <c r="BV11" i="11"/>
  <c r="BU11" i="11"/>
  <c r="BT11" i="11"/>
  <c r="BJ11" i="11"/>
  <c r="BS11" i="11"/>
  <c r="BR11" i="11"/>
  <c r="BP11" i="11"/>
  <c r="BO11" i="11"/>
  <c r="BN11" i="11"/>
  <c r="BM11" i="11"/>
  <c r="BL11" i="11"/>
  <c r="BK11" i="11"/>
  <c r="BQ11" i="11"/>
  <c r="BR2" i="11"/>
  <c r="BQ2" i="11"/>
  <c r="BP2" i="11"/>
  <c r="BU2" i="11"/>
  <c r="BV2" i="11"/>
  <c r="BT2" i="11"/>
  <c r="BX2" i="11"/>
  <c r="BW2" i="11"/>
  <c r="BL2" i="11"/>
  <c r="BO2" i="11"/>
  <c r="BN2" i="11"/>
  <c r="BM2" i="11"/>
  <c r="BS2" i="11"/>
  <c r="BK2" i="11"/>
  <c r="BJ2" i="11"/>
  <c r="CA5" i="11"/>
  <c r="BZ5" i="11"/>
  <c r="BY5" i="11"/>
  <c r="CH5" i="11"/>
  <c r="CF5" i="11"/>
  <c r="CE5" i="11"/>
  <c r="CB5" i="11"/>
  <c r="CG5" i="11"/>
  <c r="CD5" i="11"/>
  <c r="CC5" i="11"/>
  <c r="BN13" i="2"/>
  <c r="BO24" i="1"/>
  <c r="BN25" i="1"/>
  <c r="BK28" i="1"/>
  <c r="BK16" i="2"/>
  <c r="BL27" i="1"/>
  <c r="BL15" i="2"/>
  <c r="BM14" i="2"/>
  <c r="BM26" i="1"/>
  <c r="F13" i="2"/>
  <c r="F25" i="1"/>
  <c r="F14" i="2" s="1"/>
  <c r="G24" i="1"/>
  <c r="AA24" i="1"/>
  <c r="Z13" i="2"/>
  <c r="X15" i="2"/>
  <c r="Y26" i="1"/>
  <c r="V17" i="2"/>
  <c r="W28" i="1"/>
  <c r="U30" i="1"/>
  <c r="U18" i="2"/>
  <c r="V29" i="1"/>
  <c r="Y25" i="1"/>
  <c r="X14" i="2"/>
  <c r="W16" i="2"/>
  <c r="X27" i="1"/>
  <c r="CO25" i="4" l="1"/>
  <c r="CN39" i="2"/>
  <c r="CN53" i="2"/>
  <c r="CO39" i="4"/>
  <c r="CP31" i="4"/>
  <c r="CO45" i="2"/>
  <c r="CN52" i="2"/>
  <c r="CO38" i="4"/>
  <c r="CN44" i="2"/>
  <c r="CO30" i="4"/>
  <c r="CO48" i="2"/>
  <c r="CP34" i="4"/>
  <c r="CN49" i="2"/>
  <c r="CO35" i="4"/>
  <c r="CP32" i="4"/>
  <c r="CO46" i="2"/>
  <c r="CN51" i="2"/>
  <c r="CO37" i="4"/>
  <c r="CN40" i="2"/>
  <c r="CO26" i="4"/>
  <c r="CN43" i="2"/>
  <c r="CO29" i="4"/>
  <c r="CO41" i="2"/>
  <c r="CP27" i="4"/>
  <c r="CO42" i="2"/>
  <c r="CP28" i="4"/>
  <c r="CN50" i="2"/>
  <c r="CO36" i="4"/>
  <c r="CO33" i="4"/>
  <c r="CN47" i="2"/>
  <c r="CR24" i="4"/>
  <c r="CQ38" i="2"/>
  <c r="BM27" i="1"/>
  <c r="BM15" i="2"/>
  <c r="BL16" i="2"/>
  <c r="BL28" i="1"/>
  <c r="BK29" i="1"/>
  <c r="BK17" i="2"/>
  <c r="BN26" i="1"/>
  <c r="BN14" i="2"/>
  <c r="BO25" i="1"/>
  <c r="BP24" i="1"/>
  <c r="BO13" i="2"/>
  <c r="Z25" i="1"/>
  <c r="Y14" i="2"/>
  <c r="X28" i="1"/>
  <c r="W17" i="2"/>
  <c r="Y15" i="2"/>
  <c r="Z26" i="1"/>
  <c r="Y27" i="1"/>
  <c r="X16" i="2"/>
  <c r="V18" i="2"/>
  <c r="W29" i="1"/>
  <c r="U31" i="1"/>
  <c r="U19" i="2"/>
  <c r="V30" i="1"/>
  <c r="AB24" i="1"/>
  <c r="AA13" i="2"/>
  <c r="G13" i="2"/>
  <c r="G25" i="1"/>
  <c r="G14" i="2" s="1"/>
  <c r="H24" i="1"/>
  <c r="CP42" i="2" l="1"/>
  <c r="CQ28" i="4"/>
  <c r="CP33" i="4"/>
  <c r="CO47" i="2"/>
  <c r="CO43" i="2"/>
  <c r="CP29" i="4"/>
  <c r="CP26" i="4"/>
  <c r="CO40" i="2"/>
  <c r="CP46" i="2"/>
  <c r="CQ32" i="4"/>
  <c r="CO49" i="2"/>
  <c r="CP35" i="4"/>
  <c r="CP39" i="4"/>
  <c r="CO53" i="2"/>
  <c r="CQ27" i="4"/>
  <c r="CP41" i="2"/>
  <c r="CP48" i="2"/>
  <c r="CQ34" i="4"/>
  <c r="CO44" i="2"/>
  <c r="CP30" i="4"/>
  <c r="CP38" i="4"/>
  <c r="CO52" i="2"/>
  <c r="CQ31" i="4"/>
  <c r="CP45" i="2"/>
  <c r="CO50" i="2"/>
  <c r="CP36" i="4"/>
  <c r="CO51" i="2"/>
  <c r="CP37" i="4"/>
  <c r="CP25" i="4"/>
  <c r="CO39" i="2"/>
  <c r="CS24" i="4"/>
  <c r="CR38" i="2"/>
  <c r="BP13" i="2"/>
  <c r="BQ24" i="1"/>
  <c r="BP25" i="1"/>
  <c r="BO14" i="2"/>
  <c r="BO26" i="1"/>
  <c r="BN27" i="1"/>
  <c r="BN15" i="2"/>
  <c r="BK30" i="1"/>
  <c r="BK18" i="2"/>
  <c r="BL17" i="2"/>
  <c r="BL29" i="1"/>
  <c r="BM28" i="1"/>
  <c r="BM16" i="2"/>
  <c r="W30" i="1"/>
  <c r="V19" i="2"/>
  <c r="Y28" i="1"/>
  <c r="X17" i="2"/>
  <c r="V31" i="1"/>
  <c r="U20" i="2"/>
  <c r="Z27" i="1"/>
  <c r="Y16" i="2"/>
  <c r="AC24" i="1"/>
  <c r="AB13" i="2"/>
  <c r="W18" i="2"/>
  <c r="X29" i="1"/>
  <c r="Z15" i="2"/>
  <c r="AA26" i="1"/>
  <c r="H13" i="2"/>
  <c r="H25" i="1"/>
  <c r="H14" i="2" s="1"/>
  <c r="I24" i="1"/>
  <c r="AA25" i="1"/>
  <c r="Z14" i="2"/>
  <c r="CR31" i="4" l="1"/>
  <c r="CQ45" i="2"/>
  <c r="CP44" i="2"/>
  <c r="CQ30" i="4"/>
  <c r="CP51" i="2"/>
  <c r="CQ37" i="4"/>
  <c r="CQ36" i="4"/>
  <c r="CP50" i="2"/>
  <c r="CQ38" i="4"/>
  <c r="CP52" i="2"/>
  <c r="CQ41" i="2"/>
  <c r="CR27" i="4"/>
  <c r="CP53" i="2"/>
  <c r="CQ39" i="4"/>
  <c r="CP49" i="2"/>
  <c r="CQ35" i="4"/>
  <c r="CR32" i="4"/>
  <c r="CQ46" i="2"/>
  <c r="CQ26" i="4"/>
  <c r="CP40" i="2"/>
  <c r="CQ42" i="2"/>
  <c r="CR28" i="4"/>
  <c r="CP39" i="2"/>
  <c r="CQ25" i="4"/>
  <c r="CQ48" i="2"/>
  <c r="CR34" i="4"/>
  <c r="CQ29" i="4"/>
  <c r="CP43" i="2"/>
  <c r="CQ33" i="4"/>
  <c r="CP47" i="2"/>
  <c r="CT24" i="4"/>
  <c r="CS38" i="2"/>
  <c r="BK31" i="1"/>
  <c r="BK20" i="2" s="1"/>
  <c r="BK19" i="2"/>
  <c r="BN28" i="1"/>
  <c r="BN16" i="2"/>
  <c r="BO27" i="1"/>
  <c r="BO15" i="2"/>
  <c r="BP26" i="1"/>
  <c r="BP14" i="2"/>
  <c r="BQ13" i="2"/>
  <c r="BR24" i="1"/>
  <c r="BQ25" i="1"/>
  <c r="BM29" i="1"/>
  <c r="BM17" i="2"/>
  <c r="BL30" i="1"/>
  <c r="BL18" i="2"/>
  <c r="AD24" i="1"/>
  <c r="AC13" i="2"/>
  <c r="AA27" i="1"/>
  <c r="Z16" i="2"/>
  <c r="Z28" i="1"/>
  <c r="Y17" i="2"/>
  <c r="AB25" i="1"/>
  <c r="AA14" i="2"/>
  <c r="I13" i="2"/>
  <c r="I25" i="1"/>
  <c r="I14" i="2" s="1"/>
  <c r="J24" i="1"/>
  <c r="AB26" i="1"/>
  <c r="AA15" i="2"/>
  <c r="X30" i="1"/>
  <c r="W19" i="2"/>
  <c r="Y29" i="1"/>
  <c r="X18" i="2"/>
  <c r="W31" i="1"/>
  <c r="V20" i="2"/>
  <c r="CR45" i="2" l="1"/>
  <c r="CS31" i="4"/>
  <c r="CR33" i="4"/>
  <c r="CQ47" i="2"/>
  <c r="CR29" i="4"/>
  <c r="CQ43" i="2"/>
  <c r="CR48" i="2"/>
  <c r="CS34" i="4"/>
  <c r="CQ39" i="2"/>
  <c r="CR25" i="4"/>
  <c r="CR42" i="2"/>
  <c r="CS28" i="4"/>
  <c r="CR26" i="4"/>
  <c r="CQ40" i="2"/>
  <c r="CS32" i="4"/>
  <c r="CR46" i="2"/>
  <c r="CR35" i="4"/>
  <c r="CQ49" i="2"/>
  <c r="CR39" i="4"/>
  <c r="CQ53" i="2"/>
  <c r="CS27" i="4"/>
  <c r="CR41" i="2"/>
  <c r="CQ52" i="2"/>
  <c r="CR38" i="4"/>
  <c r="CR36" i="4"/>
  <c r="CQ50" i="2"/>
  <c r="CQ51" i="2"/>
  <c r="CR37" i="4"/>
  <c r="CQ44" i="2"/>
  <c r="CR30" i="4"/>
  <c r="CU24" i="4"/>
  <c r="CT38" i="2"/>
  <c r="BL31" i="1"/>
  <c r="BL20" i="2" s="1"/>
  <c r="BL19" i="2"/>
  <c r="BM30" i="1"/>
  <c r="BM18" i="2"/>
  <c r="BQ26" i="1"/>
  <c r="BQ14" i="2"/>
  <c r="BR13" i="2"/>
  <c r="BS24" i="1"/>
  <c r="BR25" i="1"/>
  <c r="BP15" i="2"/>
  <c r="BP27" i="1"/>
  <c r="BO28" i="1"/>
  <c r="BO16" i="2"/>
  <c r="BN17" i="2"/>
  <c r="BN29" i="1"/>
  <c r="Y30" i="1"/>
  <c r="X19" i="2"/>
  <c r="AB15" i="2"/>
  <c r="AC26" i="1"/>
  <c r="J13" i="2"/>
  <c r="K24" i="1"/>
  <c r="J25" i="1"/>
  <c r="J14" i="2" s="1"/>
  <c r="AC25" i="1"/>
  <c r="AB14" i="2"/>
  <c r="W20" i="2"/>
  <c r="X31" i="1"/>
  <c r="Z29" i="1"/>
  <c r="Y18" i="2"/>
  <c r="AA28" i="1"/>
  <c r="Z17" i="2"/>
  <c r="AA16" i="2"/>
  <c r="AB27" i="1"/>
  <c r="AE24" i="1"/>
  <c r="AD13" i="2"/>
  <c r="CR51" i="2" l="1"/>
  <c r="CS37" i="4"/>
  <c r="CS41" i="2"/>
  <c r="CT27" i="4"/>
  <c r="CS39" i="4"/>
  <c r="CR53" i="2"/>
  <c r="CS35" i="4"/>
  <c r="CR49" i="2"/>
  <c r="CS36" i="4"/>
  <c r="CR50" i="2"/>
  <c r="CR40" i="2"/>
  <c r="CS26" i="4"/>
  <c r="CT28" i="4"/>
  <c r="CS42" i="2"/>
  <c r="CS48" i="2"/>
  <c r="CT34" i="4"/>
  <c r="CR43" i="2"/>
  <c r="CS29" i="4"/>
  <c r="CR47" i="2"/>
  <c r="CS33" i="4"/>
  <c r="CR44" i="2"/>
  <c r="CS30" i="4"/>
  <c r="CS38" i="4"/>
  <c r="CR52" i="2"/>
  <c r="CT32" i="4"/>
  <c r="CS46" i="2"/>
  <c r="CR39" i="2"/>
  <c r="CS25" i="4"/>
  <c r="CT31" i="4"/>
  <c r="CS45" i="2"/>
  <c r="CU38" i="2"/>
  <c r="CV24" i="4"/>
  <c r="BR26" i="1"/>
  <c r="BR14" i="2"/>
  <c r="BN18" i="2"/>
  <c r="BN30" i="1"/>
  <c r="BO29" i="1"/>
  <c r="BO17" i="2"/>
  <c r="BP28" i="1"/>
  <c r="BP16" i="2"/>
  <c r="BS13" i="2"/>
  <c r="BS25" i="1"/>
  <c r="BT24" i="1"/>
  <c r="BQ27" i="1"/>
  <c r="BQ15" i="2"/>
  <c r="BM31" i="1"/>
  <c r="BM20" i="2" s="1"/>
  <c r="BM19" i="2"/>
  <c r="AB28" i="1"/>
  <c r="AA17" i="2"/>
  <c r="Y31" i="1"/>
  <c r="X20" i="2"/>
  <c r="AD26" i="1"/>
  <c r="AC15" i="2"/>
  <c r="AF24" i="1"/>
  <c r="AE13" i="2"/>
  <c r="AB16" i="2"/>
  <c r="AC27" i="1"/>
  <c r="AA29" i="1"/>
  <c r="Z18" i="2"/>
  <c r="AD25" i="1"/>
  <c r="AC14" i="2"/>
  <c r="K13" i="2"/>
  <c r="K25" i="1"/>
  <c r="K14" i="2" s="1"/>
  <c r="L24" i="1"/>
  <c r="Y19" i="2"/>
  <c r="Z30" i="1"/>
  <c r="CS44" i="2" l="1"/>
  <c r="CT30" i="4"/>
  <c r="CS49" i="2"/>
  <c r="CT35" i="4"/>
  <c r="CT45" i="2"/>
  <c r="CU31" i="4"/>
  <c r="CS47" i="2"/>
  <c r="CT33" i="4"/>
  <c r="CS43" i="2"/>
  <c r="CT29" i="4"/>
  <c r="CT48" i="2"/>
  <c r="CU34" i="4"/>
  <c r="CS50" i="2"/>
  <c r="CT36" i="4"/>
  <c r="CT39" i="4"/>
  <c r="CS53" i="2"/>
  <c r="CT25" i="4"/>
  <c r="CS39" i="2"/>
  <c r="CU32" i="4"/>
  <c r="CT46" i="2"/>
  <c r="CS52" i="2"/>
  <c r="CT38" i="4"/>
  <c r="CU28" i="4"/>
  <c r="CT42" i="2"/>
  <c r="CS40" i="2"/>
  <c r="CT26" i="4"/>
  <c r="CT41" i="2"/>
  <c r="CU27" i="4"/>
  <c r="CS51" i="2"/>
  <c r="CT37" i="4"/>
  <c r="CV38" i="2"/>
  <c r="CW24" i="4"/>
  <c r="BQ28" i="1"/>
  <c r="BQ16" i="2"/>
  <c r="BT13" i="2"/>
  <c r="BU24" i="1"/>
  <c r="BT25" i="1"/>
  <c r="BS26" i="1"/>
  <c r="BS14" i="2"/>
  <c r="BP29" i="1"/>
  <c r="BP17" i="2"/>
  <c r="BO18" i="2"/>
  <c r="BO30" i="1"/>
  <c r="BN31" i="1"/>
  <c r="BN20" i="2" s="1"/>
  <c r="BN19" i="2"/>
  <c r="BR27" i="1"/>
  <c r="BR15" i="2"/>
  <c r="AE25" i="1"/>
  <c r="AD14" i="2"/>
  <c r="L13" i="2"/>
  <c r="M24" i="1"/>
  <c r="L25" i="1"/>
  <c r="L14" i="2" s="1"/>
  <c r="AC16" i="2"/>
  <c r="AD27" i="1"/>
  <c r="AB29" i="1"/>
  <c r="AA18" i="2"/>
  <c r="AG24" i="1"/>
  <c r="AF13" i="2"/>
  <c r="Z19" i="2"/>
  <c r="AA30" i="1"/>
  <c r="AD15" i="2"/>
  <c r="AE26" i="1"/>
  <c r="Y20" i="2"/>
  <c r="Z31" i="1"/>
  <c r="AC28" i="1"/>
  <c r="AB17" i="2"/>
  <c r="CU42" i="2" l="1"/>
  <c r="CV28" i="4"/>
  <c r="CV32" i="4"/>
  <c r="CU46" i="2"/>
  <c r="CU26" i="4"/>
  <c r="CT40" i="2"/>
  <c r="CT52" i="2"/>
  <c r="CU38" i="4"/>
  <c r="CU25" i="4"/>
  <c r="CT39" i="2"/>
  <c r="CU48" i="2"/>
  <c r="CV34" i="4"/>
  <c r="CT51" i="2"/>
  <c r="CU37" i="4"/>
  <c r="CU39" i="4"/>
  <c r="CT53" i="2"/>
  <c r="CU41" i="2"/>
  <c r="CV27" i="4"/>
  <c r="CT50" i="2"/>
  <c r="CU36" i="4"/>
  <c r="CU29" i="4"/>
  <c r="CT43" i="2"/>
  <c r="CT47" i="2"/>
  <c r="CU33" i="4"/>
  <c r="CV31" i="4"/>
  <c r="CU45" i="2"/>
  <c r="CT49" i="2"/>
  <c r="CU35" i="4"/>
  <c r="CT44" i="2"/>
  <c r="CU30" i="4"/>
  <c r="CW38" i="2"/>
  <c r="CX24" i="4"/>
  <c r="BR28" i="1"/>
  <c r="BR16" i="2"/>
  <c r="BO31" i="1"/>
  <c r="BO20" i="2" s="1"/>
  <c r="BO19" i="2"/>
  <c r="BP30" i="1"/>
  <c r="BP18" i="2"/>
  <c r="BS27" i="1"/>
  <c r="BS15" i="2"/>
  <c r="BT26" i="1"/>
  <c r="BT14" i="2"/>
  <c r="BU13" i="2"/>
  <c r="BU25" i="1"/>
  <c r="BV24" i="1"/>
  <c r="BQ29" i="1"/>
  <c r="BQ17" i="2"/>
  <c r="AE15" i="2"/>
  <c r="AF26" i="1"/>
  <c r="AD28" i="1"/>
  <c r="AC17" i="2"/>
  <c r="AA31" i="1"/>
  <c r="Z20" i="2"/>
  <c r="AH24" i="1"/>
  <c r="AG13" i="2"/>
  <c r="AC29" i="1"/>
  <c r="AB18" i="2"/>
  <c r="AE27" i="1"/>
  <c r="AD16" i="2"/>
  <c r="M13" i="2"/>
  <c r="N24" i="1"/>
  <c r="M25" i="1"/>
  <c r="M14" i="2" s="1"/>
  <c r="AB30" i="1"/>
  <c r="AA19" i="2"/>
  <c r="AF25" i="1"/>
  <c r="AE14" i="2"/>
  <c r="CV45" i="2" l="1"/>
  <c r="CW31" i="4"/>
  <c r="CU50" i="2"/>
  <c r="CV36" i="4"/>
  <c r="CU44" i="2"/>
  <c r="CV30" i="4"/>
  <c r="CV39" i="4"/>
  <c r="CU53" i="2"/>
  <c r="CW28" i="4"/>
  <c r="CV42" i="2"/>
  <c r="CU49" i="2"/>
  <c r="CV35" i="4"/>
  <c r="CU47" i="2"/>
  <c r="CV33" i="4"/>
  <c r="CV29" i="4"/>
  <c r="CU43" i="2"/>
  <c r="CW27" i="4"/>
  <c r="CV41" i="2"/>
  <c r="CV37" i="4"/>
  <c r="CU51" i="2"/>
  <c r="CV48" i="2"/>
  <c r="CW34" i="4"/>
  <c r="CU39" i="2"/>
  <c r="CV25" i="4"/>
  <c r="CV38" i="4"/>
  <c r="CU52" i="2"/>
  <c r="CV26" i="4"/>
  <c r="CU40" i="2"/>
  <c r="CV46" i="2"/>
  <c r="CW32" i="4"/>
  <c r="CX38" i="2"/>
  <c r="CY24" i="4"/>
  <c r="CY38" i="2" s="1"/>
  <c r="BQ30" i="1"/>
  <c r="BQ18" i="2"/>
  <c r="BV13" i="2"/>
  <c r="BV25" i="1"/>
  <c r="BW24" i="1"/>
  <c r="BU26" i="1"/>
  <c r="BU14" i="2"/>
  <c r="BT27" i="1"/>
  <c r="BT15" i="2"/>
  <c r="BS28" i="1"/>
  <c r="BS16" i="2"/>
  <c r="BP31" i="1"/>
  <c r="BP20" i="2" s="1"/>
  <c r="BP19" i="2"/>
  <c r="BR29" i="1"/>
  <c r="BR17" i="2"/>
  <c r="AG25" i="1"/>
  <c r="AF14" i="2"/>
  <c r="AC30" i="1"/>
  <c r="AB19" i="2"/>
  <c r="N13" i="2"/>
  <c r="O24" i="1"/>
  <c r="N25" i="1"/>
  <c r="N14" i="2" s="1"/>
  <c r="AF27" i="1"/>
  <c r="AE16" i="2"/>
  <c r="AD29" i="1"/>
  <c r="AC18" i="2"/>
  <c r="AF15" i="2"/>
  <c r="AG26" i="1"/>
  <c r="AI24" i="1"/>
  <c r="AH13" i="2"/>
  <c r="AA20" i="2"/>
  <c r="AB31" i="1"/>
  <c r="AE28" i="1"/>
  <c r="AD17" i="2"/>
  <c r="CV51" i="2" l="1"/>
  <c r="CW37" i="4"/>
  <c r="CW38" i="4"/>
  <c r="CV52" i="2"/>
  <c r="CW41" i="2"/>
  <c r="CX27" i="4"/>
  <c r="CX28" i="4"/>
  <c r="CW42" i="2"/>
  <c r="CW46" i="2"/>
  <c r="CX32" i="4"/>
  <c r="CV47" i="2"/>
  <c r="CW33" i="4"/>
  <c r="CV44" i="2"/>
  <c r="CW30" i="4"/>
  <c r="CW26" i="4"/>
  <c r="CV40" i="2"/>
  <c r="CV39" i="2"/>
  <c r="CW25" i="4"/>
  <c r="CX31" i="4"/>
  <c r="CW45" i="2"/>
  <c r="CW48" i="2"/>
  <c r="CX34" i="4"/>
  <c r="CV43" i="2"/>
  <c r="CW29" i="4"/>
  <c r="CW35" i="4"/>
  <c r="CV49" i="2"/>
  <c r="CV53" i="2"/>
  <c r="CW39" i="4"/>
  <c r="CV50" i="2"/>
  <c r="CW36" i="4"/>
  <c r="BR30" i="1"/>
  <c r="BR18" i="2"/>
  <c r="BS29" i="1"/>
  <c r="BS17" i="2"/>
  <c r="BT28" i="1"/>
  <c r="BT16" i="2"/>
  <c r="BU27" i="1"/>
  <c r="BU15" i="2"/>
  <c r="BW13" i="2"/>
  <c r="BW25" i="1"/>
  <c r="BX24" i="1"/>
  <c r="BV26" i="1"/>
  <c r="BV14" i="2"/>
  <c r="BQ31" i="1"/>
  <c r="BQ20" i="2" s="1"/>
  <c r="BQ19" i="2"/>
  <c r="AJ24" i="1"/>
  <c r="AI13" i="2"/>
  <c r="AC31" i="1"/>
  <c r="AB20" i="2"/>
  <c r="AG15" i="2"/>
  <c r="AH26" i="1"/>
  <c r="AE29" i="1"/>
  <c r="AD18" i="2"/>
  <c r="AG27" i="1"/>
  <c r="AF16" i="2"/>
  <c r="AH25" i="1"/>
  <c r="AG14" i="2"/>
  <c r="O13" i="2"/>
  <c r="P24" i="1"/>
  <c r="O25" i="1"/>
  <c r="O14" i="2" s="1"/>
  <c r="AF28" i="1"/>
  <c r="AE17" i="2"/>
  <c r="AC19" i="2"/>
  <c r="AD30" i="1"/>
  <c r="CX36" i="4" l="1"/>
  <c r="CW50" i="2"/>
  <c r="CW43" i="2"/>
  <c r="CX29" i="4"/>
  <c r="CX35" i="4"/>
  <c r="CW49" i="2"/>
  <c r="CX25" i="4"/>
  <c r="CW39" i="2"/>
  <c r="CY34" i="4"/>
  <c r="CY48" i="2" s="1"/>
  <c r="CX48" i="2"/>
  <c r="CX26" i="4"/>
  <c r="CW40" i="2"/>
  <c r="CX30" i="4"/>
  <c r="CW44" i="2"/>
  <c r="CW47" i="2"/>
  <c r="CX33" i="4"/>
  <c r="CX41" i="2"/>
  <c r="CY27" i="4"/>
  <c r="CY41" i="2" s="1"/>
  <c r="CX37" i="4"/>
  <c r="CW51" i="2"/>
  <c r="CW53" i="2"/>
  <c r="CX39" i="4"/>
  <c r="CY31" i="4"/>
  <c r="CY45" i="2" s="1"/>
  <c r="CX45" i="2"/>
  <c r="CY32" i="4"/>
  <c r="CY46" i="2" s="1"/>
  <c r="CX46" i="2"/>
  <c r="CX42" i="2"/>
  <c r="CY28" i="4"/>
  <c r="CY42" i="2" s="1"/>
  <c r="CW52" i="2"/>
  <c r="CX38" i="4"/>
  <c r="BV27" i="1"/>
  <c r="BV15" i="2"/>
  <c r="BX13" i="2"/>
  <c r="BX25" i="1"/>
  <c r="BY24" i="1"/>
  <c r="BW26" i="1"/>
  <c r="BW14" i="2"/>
  <c r="BU28" i="1"/>
  <c r="BU16" i="2"/>
  <c r="BT29" i="1"/>
  <c r="BT17" i="2"/>
  <c r="BS30" i="1"/>
  <c r="BS18" i="2"/>
  <c r="BR31" i="1"/>
  <c r="BR20" i="2" s="1"/>
  <c r="BR19" i="2"/>
  <c r="AE30" i="1"/>
  <c r="AD19" i="2"/>
  <c r="AG28" i="1"/>
  <c r="AF17" i="2"/>
  <c r="AF29" i="1"/>
  <c r="AE18" i="2"/>
  <c r="AH27" i="1"/>
  <c r="AG16" i="2"/>
  <c r="AD31" i="1"/>
  <c r="AC20" i="2"/>
  <c r="P13" i="2"/>
  <c r="Q24" i="1"/>
  <c r="P25" i="1"/>
  <c r="P14" i="2" s="1"/>
  <c r="AI25" i="1"/>
  <c r="AH14" i="2"/>
  <c r="AH15" i="2"/>
  <c r="AI26" i="1"/>
  <c r="AK24" i="1"/>
  <c r="AJ13" i="2"/>
  <c r="CY38" i="4" l="1"/>
  <c r="CY52" i="2" s="1"/>
  <c r="CX52" i="2"/>
  <c r="CY39" i="4"/>
  <c r="CY53" i="2" s="1"/>
  <c r="CX53" i="2"/>
  <c r="CY37" i="4"/>
  <c r="CY51" i="2" s="1"/>
  <c r="CX51" i="2"/>
  <c r="CX40" i="2"/>
  <c r="CY26" i="4"/>
  <c r="CY40" i="2" s="1"/>
  <c r="CX47" i="2"/>
  <c r="CY33" i="4"/>
  <c r="CY47" i="2" s="1"/>
  <c r="CY30" i="4"/>
  <c r="CY44" i="2" s="1"/>
  <c r="CX44" i="2"/>
  <c r="CX39" i="2"/>
  <c r="CY25" i="4"/>
  <c r="CY39" i="2" s="1"/>
  <c r="CX49" i="2"/>
  <c r="CY35" i="4"/>
  <c r="CY49" i="2" s="1"/>
  <c r="CY29" i="4"/>
  <c r="CY43" i="2" s="1"/>
  <c r="CX43" i="2"/>
  <c r="CX50" i="2"/>
  <c r="CY36" i="4"/>
  <c r="CY50" i="2" s="1"/>
  <c r="BS31" i="1"/>
  <c r="BS20" i="2" s="1"/>
  <c r="BS19" i="2"/>
  <c r="BT30" i="1"/>
  <c r="BT18" i="2"/>
  <c r="BU17" i="2"/>
  <c r="BU29" i="1"/>
  <c r="BW27" i="1"/>
  <c r="BW15" i="2"/>
  <c r="BY13" i="2"/>
  <c r="BZ24" i="1"/>
  <c r="BY25" i="1"/>
  <c r="BX26" i="1"/>
  <c r="BX14" i="2"/>
  <c r="BV28" i="1"/>
  <c r="BV16" i="2"/>
  <c r="AH28" i="1"/>
  <c r="AG17" i="2"/>
  <c r="AL24" i="1"/>
  <c r="AK13" i="2"/>
  <c r="AE31" i="1"/>
  <c r="AD20" i="2"/>
  <c r="AG29" i="1"/>
  <c r="AF18" i="2"/>
  <c r="AI15" i="2"/>
  <c r="AJ26" i="1"/>
  <c r="AJ25" i="1"/>
  <c r="AI14" i="2"/>
  <c r="Q13" i="2"/>
  <c r="R24" i="1"/>
  <c r="Q25" i="1"/>
  <c r="Q14" i="2" s="1"/>
  <c r="AI27" i="1"/>
  <c r="AH16" i="2"/>
  <c r="AE19" i="2"/>
  <c r="AF30" i="1"/>
  <c r="BV29" i="1" l="1"/>
  <c r="BV17" i="2"/>
  <c r="BX27" i="1"/>
  <c r="BX15" i="2"/>
  <c r="BY26" i="1"/>
  <c r="BY14" i="2"/>
  <c r="BZ13" i="2"/>
  <c r="CA24" i="1"/>
  <c r="BZ25" i="1"/>
  <c r="BW28" i="1"/>
  <c r="BW16" i="2"/>
  <c r="BU30" i="1"/>
  <c r="BU18" i="2"/>
  <c r="BT31" i="1"/>
  <c r="BT20" i="2" s="1"/>
  <c r="BT19" i="2"/>
  <c r="AF19" i="2"/>
  <c r="AG30" i="1"/>
  <c r="AJ15" i="2"/>
  <c r="AK26" i="1"/>
  <c r="AF31" i="1"/>
  <c r="AE20" i="2"/>
  <c r="AJ27" i="1"/>
  <c r="AI16" i="2"/>
  <c r="R13" i="2"/>
  <c r="S24" i="1"/>
  <c r="R25" i="1"/>
  <c r="R14" i="2" s="1"/>
  <c r="AK25" i="1"/>
  <c r="AJ14" i="2"/>
  <c r="AH29" i="1"/>
  <c r="AG18" i="2"/>
  <c r="AM24" i="1"/>
  <c r="AL13" i="2"/>
  <c r="AI28" i="1"/>
  <c r="AH17" i="2"/>
  <c r="BW29" i="1" l="1"/>
  <c r="BW17" i="2"/>
  <c r="BZ26" i="1"/>
  <c r="BZ14" i="2"/>
  <c r="CA13" i="2"/>
  <c r="CB24" i="1"/>
  <c r="CA25" i="1"/>
  <c r="BY27" i="1"/>
  <c r="BY15" i="2"/>
  <c r="BX28" i="1"/>
  <c r="BX16" i="2"/>
  <c r="BV30" i="1"/>
  <c r="BV18" i="2"/>
  <c r="BU31" i="1"/>
  <c r="BU20" i="2" s="1"/>
  <c r="BU19" i="2"/>
  <c r="AN24" i="1"/>
  <c r="AM13" i="2"/>
  <c r="S13" i="2"/>
  <c r="S25" i="1"/>
  <c r="S14" i="2" s="1"/>
  <c r="T24" i="1"/>
  <c r="AJ28" i="1"/>
  <c r="AI17" i="2"/>
  <c r="AG31" i="1"/>
  <c r="AF20" i="2"/>
  <c r="AG19" i="2"/>
  <c r="AH30" i="1"/>
  <c r="AI29" i="1"/>
  <c r="AH18" i="2"/>
  <c r="AL25" i="1"/>
  <c r="AK14" i="2"/>
  <c r="AK27" i="1"/>
  <c r="AJ16" i="2"/>
  <c r="AK15" i="2"/>
  <c r="AL26" i="1"/>
  <c r="BV31" i="1" l="1"/>
  <c r="BV20" i="2" s="1"/>
  <c r="BV19" i="2"/>
  <c r="BX29" i="1"/>
  <c r="BX17" i="2"/>
  <c r="BY28" i="1"/>
  <c r="BY16" i="2"/>
  <c r="CA26" i="1"/>
  <c r="CA14" i="2"/>
  <c r="CB13" i="2"/>
  <c r="CC24" i="1"/>
  <c r="CB25" i="1"/>
  <c r="BZ27" i="1"/>
  <c r="BZ15" i="2"/>
  <c r="BW18" i="2"/>
  <c r="BW30" i="1"/>
  <c r="AL27" i="1"/>
  <c r="AK16" i="2"/>
  <c r="AM25" i="1"/>
  <c r="AL14" i="2"/>
  <c r="AH19" i="2"/>
  <c r="AI30" i="1"/>
  <c r="AL15" i="2"/>
  <c r="AM26" i="1"/>
  <c r="AJ29" i="1"/>
  <c r="AI18" i="2"/>
  <c r="AH31" i="1"/>
  <c r="AG20" i="2"/>
  <c r="AK28" i="1"/>
  <c r="AJ17" i="2"/>
  <c r="T25" i="1"/>
  <c r="T14" i="2" s="1"/>
  <c r="T13" i="2"/>
  <c r="AO24" i="1"/>
  <c r="AN13" i="2"/>
  <c r="BW31" i="1" l="1"/>
  <c r="BW20" i="2" s="1"/>
  <c r="BW19" i="2"/>
  <c r="CA27" i="1"/>
  <c r="CA15" i="2"/>
  <c r="BY29" i="1"/>
  <c r="BY17" i="2"/>
  <c r="BX30" i="1"/>
  <c r="BX18" i="2"/>
  <c r="BZ28" i="1"/>
  <c r="BZ16" i="2"/>
  <c r="CB26" i="1"/>
  <c r="CB14" i="2"/>
  <c r="CC13" i="2"/>
  <c r="CD24" i="1"/>
  <c r="CC25" i="1"/>
  <c r="AP24" i="1"/>
  <c r="AO13" i="2"/>
  <c r="AL28" i="1"/>
  <c r="AK17" i="2"/>
  <c r="AK29" i="1"/>
  <c r="AJ18" i="2"/>
  <c r="AI31" i="1"/>
  <c r="AH20" i="2"/>
  <c r="AN26" i="1"/>
  <c r="AM15" i="2"/>
  <c r="AJ30" i="1"/>
  <c r="AI19" i="2"/>
  <c r="AN25" i="1"/>
  <c r="AM14" i="2"/>
  <c r="AM27" i="1"/>
  <c r="AL16" i="2"/>
  <c r="CC26" i="1" l="1"/>
  <c r="CC14" i="2"/>
  <c r="CA28" i="1"/>
  <c r="CA16" i="2"/>
  <c r="CD13" i="2"/>
  <c r="CE24" i="1"/>
  <c r="CD25" i="1"/>
  <c r="CB27" i="1"/>
  <c r="CB15" i="2"/>
  <c r="BZ29" i="1"/>
  <c r="BZ17" i="2"/>
  <c r="BX31" i="1"/>
  <c r="BX20" i="2" s="1"/>
  <c r="BX19" i="2"/>
  <c r="BY30" i="1"/>
  <c r="BY18" i="2"/>
  <c r="AN27" i="1"/>
  <c r="AM16" i="2"/>
  <c r="AO25" i="1"/>
  <c r="AN14" i="2"/>
  <c r="AJ31" i="1"/>
  <c r="AI20" i="2"/>
  <c r="AL29" i="1"/>
  <c r="AK18" i="2"/>
  <c r="AK30" i="1"/>
  <c r="AJ19" i="2"/>
  <c r="AO26" i="1"/>
  <c r="AN15" i="2"/>
  <c r="AM28" i="1"/>
  <c r="AL17" i="2"/>
  <c r="AQ24" i="1"/>
  <c r="AP13" i="2"/>
  <c r="BY31" i="1" l="1"/>
  <c r="BY20" i="2" s="1"/>
  <c r="BY19" i="2"/>
  <c r="BZ18" i="2"/>
  <c r="BZ30" i="1"/>
  <c r="CB28" i="1"/>
  <c r="CB16" i="2"/>
  <c r="CD26" i="1"/>
  <c r="CD14" i="2"/>
  <c r="CE13" i="2"/>
  <c r="CF24" i="1"/>
  <c r="CE25" i="1"/>
  <c r="CA29" i="1"/>
  <c r="CA17" i="2"/>
  <c r="CC27" i="1"/>
  <c r="CC15" i="2"/>
  <c r="AR24" i="1"/>
  <c r="AQ13" i="2"/>
  <c r="AN28" i="1"/>
  <c r="AM17" i="2"/>
  <c r="AM29" i="1"/>
  <c r="AL18" i="2"/>
  <c r="AP26" i="1"/>
  <c r="AO15" i="2"/>
  <c r="AL30" i="1"/>
  <c r="AK19" i="2"/>
  <c r="AK31" i="1"/>
  <c r="AJ20" i="2"/>
  <c r="AP25" i="1"/>
  <c r="AO14" i="2"/>
  <c r="AO27" i="1"/>
  <c r="AN16" i="2"/>
  <c r="CC28" i="1" l="1"/>
  <c r="CC16" i="2"/>
  <c r="CA30" i="1"/>
  <c r="CA18" i="2"/>
  <c r="CE14" i="2"/>
  <c r="CE26" i="1"/>
  <c r="CF13" i="2"/>
  <c r="CG24" i="1"/>
  <c r="CF25" i="1"/>
  <c r="CD27" i="1"/>
  <c r="CD15" i="2"/>
  <c r="CB29" i="1"/>
  <c r="CB17" i="2"/>
  <c r="BZ31" i="1"/>
  <c r="BZ20" i="2" s="1"/>
  <c r="BZ19" i="2"/>
  <c r="AP27" i="1"/>
  <c r="AO16" i="2"/>
  <c r="AM30" i="1"/>
  <c r="AL19" i="2"/>
  <c r="AQ25" i="1"/>
  <c r="AP14" i="2"/>
  <c r="AL31" i="1"/>
  <c r="AK20" i="2"/>
  <c r="AQ26" i="1"/>
  <c r="AP15" i="2"/>
  <c r="AN29" i="1"/>
  <c r="AM18" i="2"/>
  <c r="AO28" i="1"/>
  <c r="AN17" i="2"/>
  <c r="AS24" i="1"/>
  <c r="AR13" i="2"/>
  <c r="CF26" i="1" l="1"/>
  <c r="CF14" i="2"/>
  <c r="CB30" i="1"/>
  <c r="CB18" i="2"/>
  <c r="CD28" i="1"/>
  <c r="CD16" i="2"/>
  <c r="CG13" i="2"/>
  <c r="CH24" i="1"/>
  <c r="CG25" i="1"/>
  <c r="CE27" i="1"/>
  <c r="CE15" i="2"/>
  <c r="CA31" i="1"/>
  <c r="CA20" i="2" s="1"/>
  <c r="CA19" i="2"/>
  <c r="CC29" i="1"/>
  <c r="CC17" i="2"/>
  <c r="AP28" i="1"/>
  <c r="AO17" i="2"/>
  <c r="AT24" i="1"/>
  <c r="AS13" i="2"/>
  <c r="AO29" i="1"/>
  <c r="AN18" i="2"/>
  <c r="AR26" i="1"/>
  <c r="AQ15" i="2"/>
  <c r="AM31" i="1"/>
  <c r="AL20" i="2"/>
  <c r="AR25" i="1"/>
  <c r="AQ14" i="2"/>
  <c r="AN30" i="1"/>
  <c r="AM19" i="2"/>
  <c r="AQ27" i="1"/>
  <c r="AP16" i="2"/>
  <c r="CF27" i="1" l="1"/>
  <c r="CF15" i="2"/>
  <c r="CC30" i="1"/>
  <c r="CC18" i="2"/>
  <c r="CE28" i="1"/>
  <c r="CE16" i="2"/>
  <c r="CG26" i="1"/>
  <c r="CG14" i="2"/>
  <c r="CH13" i="2"/>
  <c r="CI24" i="1"/>
  <c r="CH25" i="1"/>
  <c r="CD29" i="1"/>
  <c r="CD17" i="2"/>
  <c r="CB19" i="2"/>
  <c r="CB31" i="1"/>
  <c r="CB20" i="2" s="1"/>
  <c r="AO30" i="1"/>
  <c r="AN19" i="2"/>
  <c r="AS25" i="1"/>
  <c r="AR14" i="2"/>
  <c r="AS26" i="1"/>
  <c r="AR15" i="2"/>
  <c r="AR27" i="1"/>
  <c r="AQ16" i="2"/>
  <c r="AN31" i="1"/>
  <c r="AM20" i="2"/>
  <c r="AP29" i="1"/>
  <c r="AO18" i="2"/>
  <c r="AU24" i="1"/>
  <c r="AT13" i="2"/>
  <c r="AQ28" i="1"/>
  <c r="AP17" i="2"/>
  <c r="CD30" i="1" l="1"/>
  <c r="CD18" i="2"/>
  <c r="CH26" i="1"/>
  <c r="CH14" i="2"/>
  <c r="CI13" i="2"/>
  <c r="CJ24" i="1"/>
  <c r="CI25" i="1"/>
  <c r="CG27" i="1"/>
  <c r="CG15" i="2"/>
  <c r="CE29" i="1"/>
  <c r="CE17" i="2"/>
  <c r="CC31" i="1"/>
  <c r="CC20" i="2" s="1"/>
  <c r="CC19" i="2"/>
  <c r="CF28" i="1"/>
  <c r="CF16" i="2"/>
  <c r="AR28" i="1"/>
  <c r="AQ17" i="2"/>
  <c r="AQ29" i="1"/>
  <c r="AP18" i="2"/>
  <c r="AV24" i="1"/>
  <c r="AU13" i="2"/>
  <c r="AO31" i="1"/>
  <c r="AN20" i="2"/>
  <c r="AS27" i="1"/>
  <c r="AR16" i="2"/>
  <c r="AT26" i="1"/>
  <c r="AS15" i="2"/>
  <c r="AT25" i="1"/>
  <c r="AS14" i="2"/>
  <c r="AP30" i="1"/>
  <c r="AO19" i="2"/>
  <c r="CF29" i="1" l="1"/>
  <c r="CF17" i="2"/>
  <c r="CE30" i="1"/>
  <c r="CE18" i="2"/>
  <c r="CG28" i="1"/>
  <c r="CG16" i="2"/>
  <c r="CI26" i="1"/>
  <c r="CI14" i="2"/>
  <c r="CJ13" i="2"/>
  <c r="CK24" i="1"/>
  <c r="CJ25" i="1"/>
  <c r="CH27" i="1"/>
  <c r="CH15" i="2"/>
  <c r="CD19" i="2"/>
  <c r="CD31" i="1"/>
  <c r="CD20" i="2" s="1"/>
  <c r="AU26" i="1"/>
  <c r="AT15" i="2"/>
  <c r="AW24" i="1"/>
  <c r="AV13" i="2"/>
  <c r="AR29" i="1"/>
  <c r="AQ18" i="2"/>
  <c r="AQ30" i="1"/>
  <c r="AP19" i="2"/>
  <c r="AU25" i="1"/>
  <c r="AT14" i="2"/>
  <c r="AT27" i="1"/>
  <c r="AS16" i="2"/>
  <c r="AP31" i="1"/>
  <c r="AO20" i="2"/>
  <c r="AS28" i="1"/>
  <c r="AR17" i="2"/>
  <c r="CH28" i="1" l="1"/>
  <c r="CH16" i="2"/>
  <c r="CJ14" i="2"/>
  <c r="CJ26" i="1"/>
  <c r="CK13" i="2"/>
  <c r="CL24" i="1"/>
  <c r="CK25" i="1"/>
  <c r="CI27" i="1"/>
  <c r="CI15" i="2"/>
  <c r="CG29" i="1"/>
  <c r="CG17" i="2"/>
  <c r="CE19" i="2"/>
  <c r="CE31" i="1"/>
  <c r="CE20" i="2" s="1"/>
  <c r="CF18" i="2"/>
  <c r="CF30" i="1"/>
  <c r="AS29" i="1"/>
  <c r="AR18" i="2"/>
  <c r="AR30" i="1"/>
  <c r="AQ19" i="2"/>
  <c r="AT28" i="1"/>
  <c r="AS17" i="2"/>
  <c r="AQ31" i="1"/>
  <c r="AP20" i="2"/>
  <c r="AU27" i="1"/>
  <c r="AT16" i="2"/>
  <c r="AV25" i="1"/>
  <c r="AU14" i="2"/>
  <c r="AX24" i="1"/>
  <c r="AW13" i="2"/>
  <c r="AV26" i="1"/>
  <c r="AU15" i="2"/>
  <c r="CF31" i="1" l="1"/>
  <c r="CF20" i="2" s="1"/>
  <c r="CF19" i="2"/>
  <c r="CG30" i="1"/>
  <c r="CG18" i="2"/>
  <c r="CI28" i="1"/>
  <c r="CI16" i="2"/>
  <c r="CK26" i="1"/>
  <c r="CK14" i="2"/>
  <c r="CL13" i="2"/>
  <c r="CL25" i="1"/>
  <c r="CM24" i="1"/>
  <c r="CJ27" i="1"/>
  <c r="CJ15" i="2"/>
  <c r="CH29" i="1"/>
  <c r="CH17" i="2"/>
  <c r="AW26" i="1"/>
  <c r="AV15" i="2"/>
  <c r="AV27" i="1"/>
  <c r="AU16" i="2"/>
  <c r="AS30" i="1"/>
  <c r="AR19" i="2"/>
  <c r="AY24" i="1"/>
  <c r="AZ24" i="1" s="1"/>
  <c r="AX13" i="2"/>
  <c r="AW25" i="1"/>
  <c r="AV14" i="2"/>
  <c r="AR31" i="1"/>
  <c r="AQ20" i="2"/>
  <c r="AU28" i="1"/>
  <c r="AT17" i="2"/>
  <c r="AT29" i="1"/>
  <c r="AS18" i="2"/>
  <c r="CH30" i="1" l="1"/>
  <c r="CH18" i="2"/>
  <c r="CJ28" i="1"/>
  <c r="CJ16" i="2"/>
  <c r="CM13" i="2"/>
  <c r="CM25" i="1"/>
  <c r="CN24" i="1"/>
  <c r="CL26" i="1"/>
  <c r="CL14" i="2"/>
  <c r="CK27" i="1"/>
  <c r="CK15" i="2"/>
  <c r="CI29" i="1"/>
  <c r="CI17" i="2"/>
  <c r="CG31" i="1"/>
  <c r="CG20" i="2" s="1"/>
  <c r="CG19" i="2"/>
  <c r="AU29" i="1"/>
  <c r="AT18" i="2"/>
  <c r="AV28" i="1"/>
  <c r="AU17" i="2"/>
  <c r="AX25" i="1"/>
  <c r="AY25" i="1" s="1"/>
  <c r="AZ25" i="1" s="1"/>
  <c r="AW14" i="2"/>
  <c r="AY13" i="2"/>
  <c r="AW27" i="1"/>
  <c r="AV16" i="2"/>
  <c r="AS31" i="1"/>
  <c r="AR20" i="2"/>
  <c r="AT30" i="1"/>
  <c r="AS19" i="2"/>
  <c r="AX26" i="1"/>
  <c r="AY26" i="1" s="1"/>
  <c r="AZ26" i="1" s="1"/>
  <c r="AW15" i="2"/>
  <c r="CI30" i="1" l="1"/>
  <c r="CI18" i="2"/>
  <c r="CK28" i="1"/>
  <c r="CK16" i="2"/>
  <c r="CL27" i="1"/>
  <c r="CL15" i="2"/>
  <c r="CN13" i="2"/>
  <c r="CN25" i="1"/>
  <c r="CO24" i="1"/>
  <c r="CM26" i="1"/>
  <c r="CM14" i="2"/>
  <c r="CJ29" i="1"/>
  <c r="CJ17" i="2"/>
  <c r="CH31" i="1"/>
  <c r="CH20" i="2" s="1"/>
  <c r="CH19" i="2"/>
  <c r="AT31" i="1"/>
  <c r="AS20" i="2"/>
  <c r="AX27" i="1"/>
  <c r="AY27" i="1" s="1"/>
  <c r="AZ27" i="1" s="1"/>
  <c r="AW16" i="2"/>
  <c r="AX14" i="2"/>
  <c r="AX15" i="2"/>
  <c r="AU30" i="1"/>
  <c r="AT19" i="2"/>
  <c r="AZ13" i="2"/>
  <c r="AW28" i="1"/>
  <c r="AV17" i="2"/>
  <c r="AV29" i="1"/>
  <c r="AU18" i="2"/>
  <c r="CJ30" i="1" l="1"/>
  <c r="CJ18" i="2"/>
  <c r="CM27" i="1"/>
  <c r="CM15" i="2"/>
  <c r="CO13" i="2"/>
  <c r="CO25" i="1"/>
  <c r="CP24" i="1"/>
  <c r="CN26" i="1"/>
  <c r="CN14" i="2"/>
  <c r="CL28" i="1"/>
  <c r="CL16" i="2"/>
  <c r="CK29" i="1"/>
  <c r="CK17" i="2"/>
  <c r="CI31" i="1"/>
  <c r="CI20" i="2" s="1"/>
  <c r="CI19" i="2"/>
  <c r="AW29" i="1"/>
  <c r="AV18" i="2"/>
  <c r="AX28" i="1"/>
  <c r="AY28" i="1" s="1"/>
  <c r="AZ28" i="1" s="1"/>
  <c r="AW17" i="2"/>
  <c r="BB24" i="1"/>
  <c r="BA13" i="2"/>
  <c r="AV30" i="1"/>
  <c r="AU19" i="2"/>
  <c r="AY15" i="2"/>
  <c r="AY14" i="2"/>
  <c r="AU31" i="1"/>
  <c r="AT20" i="2"/>
  <c r="AX16" i="2"/>
  <c r="CK30" i="1" l="1"/>
  <c r="CK18" i="2"/>
  <c r="CL29" i="1"/>
  <c r="CL17" i="2"/>
  <c r="CN27" i="1"/>
  <c r="CN15" i="2"/>
  <c r="CP13" i="2"/>
  <c r="CP25" i="1"/>
  <c r="CQ24" i="1"/>
  <c r="CO26" i="1"/>
  <c r="CO14" i="2"/>
  <c r="CM28" i="1"/>
  <c r="CM16" i="2"/>
  <c r="CJ31" i="1"/>
  <c r="CJ20" i="2" s="1"/>
  <c r="CJ19" i="2"/>
  <c r="AV31" i="1"/>
  <c r="AU20" i="2"/>
  <c r="AZ15" i="2"/>
  <c r="AY16" i="2"/>
  <c r="AZ14" i="2"/>
  <c r="AW30" i="1"/>
  <c r="AV19" i="2"/>
  <c r="BC24" i="1"/>
  <c r="BB13" i="2"/>
  <c r="AX17" i="2"/>
  <c r="AX29" i="1"/>
  <c r="AY29" i="1" s="1"/>
  <c r="AZ29" i="1" s="1"/>
  <c r="AW18" i="2"/>
  <c r="CM29" i="1" l="1"/>
  <c r="CM17" i="2"/>
  <c r="CO27" i="1"/>
  <c r="CO15" i="2"/>
  <c r="CQ13" i="2"/>
  <c r="CQ25" i="1"/>
  <c r="CR24" i="1"/>
  <c r="CP26" i="1"/>
  <c r="CP14" i="2"/>
  <c r="CN28" i="1"/>
  <c r="CN16" i="2"/>
  <c r="CL30" i="1"/>
  <c r="CL18" i="2"/>
  <c r="CK31" i="1"/>
  <c r="CK20" i="2" s="1"/>
  <c r="CK19" i="2"/>
  <c r="AX18" i="2"/>
  <c r="AX30" i="1"/>
  <c r="AY30" i="1" s="1"/>
  <c r="AZ30" i="1" s="1"/>
  <c r="AW19" i="2"/>
  <c r="BD24" i="1"/>
  <c r="BC13" i="2"/>
  <c r="BB25" i="1"/>
  <c r="BA14" i="2"/>
  <c r="AY17" i="2"/>
  <c r="AZ16" i="2"/>
  <c r="BB26" i="1"/>
  <c r="BA15" i="2"/>
  <c r="AW31" i="1"/>
  <c r="AV20" i="2"/>
  <c r="CL31" i="1" l="1"/>
  <c r="CL20" i="2" s="1"/>
  <c r="CL19" i="2"/>
  <c r="CN29" i="1"/>
  <c r="CN17" i="2"/>
  <c r="CP27" i="1"/>
  <c r="CP15" i="2"/>
  <c r="CR13" i="2"/>
  <c r="CS24" i="1"/>
  <c r="CR25" i="1"/>
  <c r="CQ14" i="2"/>
  <c r="CQ26" i="1"/>
  <c r="CO28" i="1"/>
  <c r="CO16" i="2"/>
  <c r="CM30" i="1"/>
  <c r="CM18" i="2"/>
  <c r="AX31" i="1"/>
  <c r="AY31" i="1" s="1"/>
  <c r="AZ31" i="1" s="1"/>
  <c r="AW20" i="2"/>
  <c r="BB27" i="1"/>
  <c r="BA16" i="2"/>
  <c r="AZ17" i="2"/>
  <c r="BC25" i="1"/>
  <c r="BB14" i="2"/>
  <c r="BC26" i="1"/>
  <c r="BB15" i="2"/>
  <c r="BE24" i="1"/>
  <c r="BD13" i="2"/>
  <c r="AX19" i="2"/>
  <c r="AY18" i="2"/>
  <c r="CM31" i="1" l="1"/>
  <c r="CM20" i="2" s="1"/>
  <c r="CM19" i="2"/>
  <c r="CO29" i="1"/>
  <c r="CO17" i="2"/>
  <c r="CQ27" i="1"/>
  <c r="CQ15" i="2"/>
  <c r="CR26" i="1"/>
  <c r="CR14" i="2"/>
  <c r="CS13" i="2"/>
  <c r="CT24" i="1"/>
  <c r="CS25" i="1"/>
  <c r="CP28" i="1"/>
  <c r="CP16" i="2"/>
  <c r="CN30" i="1"/>
  <c r="CN18" i="2"/>
  <c r="AY19" i="2"/>
  <c r="AZ18" i="2"/>
  <c r="BD26" i="1"/>
  <c r="BC15" i="2"/>
  <c r="BD25" i="1"/>
  <c r="BC14" i="2"/>
  <c r="BB28" i="1"/>
  <c r="BA17" i="2"/>
  <c r="BF24" i="1"/>
  <c r="BE13" i="2"/>
  <c r="BC27" i="1"/>
  <c r="BB16" i="2"/>
  <c r="AX20" i="2"/>
  <c r="CN31" i="1" l="1"/>
  <c r="CN20" i="2" s="1"/>
  <c r="CN19" i="2"/>
  <c r="CP29" i="1"/>
  <c r="CP17" i="2"/>
  <c r="CS26" i="1"/>
  <c r="CS14" i="2"/>
  <c r="CT13" i="2"/>
  <c r="CU24" i="1"/>
  <c r="CT25" i="1"/>
  <c r="CR27" i="1"/>
  <c r="CR15" i="2"/>
  <c r="CQ28" i="1"/>
  <c r="CQ16" i="2"/>
  <c r="CO30" i="1"/>
  <c r="CO18" i="2"/>
  <c r="AY20" i="2"/>
  <c r="BC28" i="1"/>
  <c r="BB17" i="2"/>
  <c r="BD27" i="1"/>
  <c r="BC16" i="2"/>
  <c r="BG24" i="1"/>
  <c r="BF13" i="2"/>
  <c r="BE25" i="1"/>
  <c r="BD14" i="2"/>
  <c r="BE26" i="1"/>
  <c r="BD15" i="2"/>
  <c r="BB29" i="1"/>
  <c r="BA18" i="2"/>
  <c r="AZ19" i="2"/>
  <c r="AM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B2" i="2"/>
  <c r="B1" i="2"/>
  <c r="CO31" i="1" l="1"/>
  <c r="CO20" i="2" s="1"/>
  <c r="CO19" i="2"/>
  <c r="CQ29" i="1"/>
  <c r="CQ17" i="2"/>
  <c r="CR28" i="1"/>
  <c r="CR16" i="2"/>
  <c r="CT26" i="1"/>
  <c r="CT14" i="2"/>
  <c r="CU13" i="2"/>
  <c r="CV24" i="1"/>
  <c r="CU25" i="1"/>
  <c r="CS27" i="1"/>
  <c r="CS15" i="2"/>
  <c r="CP30" i="1"/>
  <c r="CP18" i="2"/>
  <c r="BF25" i="1"/>
  <c r="BE14" i="2"/>
  <c r="BB30" i="1"/>
  <c r="BA19" i="2"/>
  <c r="BH24" i="1"/>
  <c r="BG13" i="2"/>
  <c r="BE27" i="1"/>
  <c r="BD16" i="2"/>
  <c r="BC29" i="1"/>
  <c r="BB18" i="2"/>
  <c r="BF26" i="1"/>
  <c r="BE15" i="2"/>
  <c r="BD28" i="1"/>
  <c r="BC17" i="2"/>
  <c r="AZ20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B12" i="2"/>
  <c r="B11" i="2"/>
  <c r="B10" i="2"/>
  <c r="B9" i="2"/>
  <c r="B8" i="2"/>
  <c r="B7" i="2"/>
  <c r="B6" i="2"/>
  <c r="B5" i="2"/>
  <c r="C4" i="2"/>
  <c r="B4" i="2"/>
  <c r="CP31" i="1" l="1"/>
  <c r="CP20" i="2" s="1"/>
  <c r="CP19" i="2"/>
  <c r="CS28" i="1"/>
  <c r="CS16" i="2"/>
  <c r="CU26" i="1"/>
  <c r="CU14" i="2"/>
  <c r="CV13" i="2"/>
  <c r="CW24" i="1"/>
  <c r="CV25" i="1"/>
  <c r="CT27" i="1"/>
  <c r="CT15" i="2"/>
  <c r="CR29" i="1"/>
  <c r="CR17" i="2"/>
  <c r="CQ30" i="1"/>
  <c r="CQ18" i="2"/>
  <c r="BE28" i="1"/>
  <c r="BD17" i="2"/>
  <c r="BG26" i="1"/>
  <c r="BF15" i="2"/>
  <c r="BD29" i="1"/>
  <c r="BC18" i="2"/>
  <c r="BF27" i="1"/>
  <c r="BE16" i="2"/>
  <c r="BB31" i="1"/>
  <c r="BA20" i="2"/>
  <c r="BI24" i="1"/>
  <c r="BH13" i="2"/>
  <c r="BC30" i="1"/>
  <c r="BB19" i="2"/>
  <c r="BG25" i="1"/>
  <c r="BF14" i="2"/>
  <c r="CQ31" i="1" l="1"/>
  <c r="CQ20" i="2" s="1"/>
  <c r="CQ19" i="2"/>
  <c r="CR30" i="1"/>
  <c r="CR18" i="2"/>
  <c r="CT16" i="2"/>
  <c r="CT28" i="1"/>
  <c r="CV26" i="1"/>
  <c r="CV14" i="2"/>
  <c r="CW13" i="2"/>
  <c r="CX24" i="1"/>
  <c r="CW25" i="1"/>
  <c r="CU27" i="1"/>
  <c r="CU15" i="2"/>
  <c r="CS29" i="1"/>
  <c r="CS17" i="2"/>
  <c r="BH25" i="1"/>
  <c r="BG14" i="2"/>
  <c r="BJ24" i="1"/>
  <c r="BJ13" i="2" s="1"/>
  <c r="BI13" i="2"/>
  <c r="BD30" i="1"/>
  <c r="BC19" i="2"/>
  <c r="BC31" i="1"/>
  <c r="BB20" i="2"/>
  <c r="BG27" i="1"/>
  <c r="BF16" i="2"/>
  <c r="BE29" i="1"/>
  <c r="BD18" i="2"/>
  <c r="BH26" i="1"/>
  <c r="BG15" i="2"/>
  <c r="BF28" i="1"/>
  <c r="BE17" i="2"/>
  <c r="CS30" i="1" l="1"/>
  <c r="CS18" i="2"/>
  <c r="CU28" i="1"/>
  <c r="CU16" i="2"/>
  <c r="CW14" i="2"/>
  <c r="CW26" i="1"/>
  <c r="CX13" i="2"/>
  <c r="CX25" i="1"/>
  <c r="CY24" i="1"/>
  <c r="CV27" i="1"/>
  <c r="CV15" i="2"/>
  <c r="CT29" i="1"/>
  <c r="CT17" i="2"/>
  <c r="CR31" i="1"/>
  <c r="CR20" i="2" s="1"/>
  <c r="CR19" i="2"/>
  <c r="BG28" i="1"/>
  <c r="BF17" i="2"/>
  <c r="BI26" i="1"/>
  <c r="BH15" i="2"/>
  <c r="BF29" i="1"/>
  <c r="BE18" i="2"/>
  <c r="BH27" i="1"/>
  <c r="BG16" i="2"/>
  <c r="BD31" i="1"/>
  <c r="BC20" i="2"/>
  <c r="BE30" i="1"/>
  <c r="BD19" i="2"/>
  <c r="BI25" i="1"/>
  <c r="BH14" i="2"/>
  <c r="CW15" i="2" l="1"/>
  <c r="CW27" i="1"/>
  <c r="CT30" i="1"/>
  <c r="CT18" i="2"/>
  <c r="CV16" i="2"/>
  <c r="CV28" i="1"/>
  <c r="CY13" i="2"/>
  <c r="CY25" i="1"/>
  <c r="CX14" i="2"/>
  <c r="CX26" i="1"/>
  <c r="CU29" i="1"/>
  <c r="CU17" i="2"/>
  <c r="CS31" i="1"/>
  <c r="CS20" i="2" s="1"/>
  <c r="CS19" i="2"/>
  <c r="BJ25" i="1"/>
  <c r="BJ14" i="2" s="1"/>
  <c r="BI14" i="2"/>
  <c r="BF30" i="1"/>
  <c r="BE19" i="2"/>
  <c r="BE31" i="1"/>
  <c r="BD20" i="2"/>
  <c r="BI27" i="1"/>
  <c r="BH16" i="2"/>
  <c r="BG29" i="1"/>
  <c r="BF18" i="2"/>
  <c r="BJ26" i="1"/>
  <c r="BJ15" i="2" s="1"/>
  <c r="BI15" i="2"/>
  <c r="BH28" i="1"/>
  <c r="BG17" i="2"/>
  <c r="CU30" i="1" l="1"/>
  <c r="CU18" i="2"/>
  <c r="CX15" i="2"/>
  <c r="CX27" i="1"/>
  <c r="CY26" i="1"/>
  <c r="CY14" i="2"/>
  <c r="CV17" i="2"/>
  <c r="CV29" i="1"/>
  <c r="CT31" i="1"/>
  <c r="CT20" i="2" s="1"/>
  <c r="CT19" i="2"/>
  <c r="CW28" i="1"/>
  <c r="CW16" i="2"/>
  <c r="BH29" i="1"/>
  <c r="BG18" i="2"/>
  <c r="BI28" i="1"/>
  <c r="BH17" i="2"/>
  <c r="BJ27" i="1"/>
  <c r="BJ16" i="2" s="1"/>
  <c r="BI16" i="2"/>
  <c r="BF31" i="1"/>
  <c r="BE20" i="2"/>
  <c r="BG30" i="1"/>
  <c r="BF19" i="2"/>
  <c r="CW29" i="1" l="1"/>
  <c r="CW17" i="2"/>
  <c r="CV30" i="1"/>
  <c r="CV18" i="2"/>
  <c r="CY27" i="1"/>
  <c r="CY15" i="2"/>
  <c r="CX28" i="1"/>
  <c r="CX16" i="2"/>
  <c r="CU31" i="1"/>
  <c r="CU20" i="2" s="1"/>
  <c r="CU19" i="2"/>
  <c r="BG31" i="1"/>
  <c r="BF20" i="2"/>
  <c r="BH30" i="1"/>
  <c r="BG19" i="2"/>
  <c r="BJ28" i="1"/>
  <c r="BJ17" i="2" s="1"/>
  <c r="BI17" i="2"/>
  <c r="BI29" i="1"/>
  <c r="BH18" i="2"/>
  <c r="CX29" i="1" l="1"/>
  <c r="CX17" i="2"/>
  <c r="CY28" i="1"/>
  <c r="CY16" i="2"/>
  <c r="CV31" i="1"/>
  <c r="CV20" i="2" s="1"/>
  <c r="CV19" i="2"/>
  <c r="CW30" i="1"/>
  <c r="CW18" i="2"/>
  <c r="BJ29" i="1"/>
  <c r="BJ18" i="2" s="1"/>
  <c r="BI18" i="2"/>
  <c r="BI30" i="1"/>
  <c r="BH19" i="2"/>
  <c r="BH31" i="1"/>
  <c r="BG20" i="2"/>
  <c r="CW31" i="1" l="1"/>
  <c r="CW20" i="2" s="1"/>
  <c r="CW19" i="2"/>
  <c r="CY29" i="1"/>
  <c r="CY17" i="2"/>
  <c r="CX30" i="1"/>
  <c r="CX18" i="2"/>
  <c r="BI31" i="1"/>
  <c r="BH20" i="2"/>
  <c r="BJ30" i="1"/>
  <c r="BJ19" i="2" s="1"/>
  <c r="BI19" i="2"/>
  <c r="CX31" i="1" l="1"/>
  <c r="CX20" i="2" s="1"/>
  <c r="CX19" i="2"/>
  <c r="CY30" i="1"/>
  <c r="CY18" i="2"/>
  <c r="BJ31" i="1"/>
  <c r="BJ20" i="2" s="1"/>
  <c r="BI20" i="2"/>
  <c r="CY31" i="1" l="1"/>
  <c r="CY20" i="2" s="1"/>
  <c r="CY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tc={5BD964C9-7DAD-451A-BCBF-6E168B961148}</author>
    <author>tc={B7A9540C-E2F1-4DD3-8D5E-095AEA26A8E0}</author>
    <author>tc={6D4530A6-2E98-41EF-9B8E-975E69474EEA}</author>
    <author>tc={208C3EDF-7D46-48F5-963E-733151E0EA9E}</author>
  </authors>
  <commentList>
    <comment ref="A4" authorId="0" shapeId="0" xr:uid="{5BD964C9-7DAD-451A-BCBF-6E168B961148}">
      <text>
        <t>[Threaded comment]
Your version of Excel allows you to read this threaded comment; however, any edits to it will get removed if the file is opened in a newer version of Excel. Learn more: https://go.microsoft.com/fwlink/?linkid=870924
Comment:
    ASMR now from OHCA work</t>
      </text>
    </comment>
    <comment ref="A23" authorId="1" shapeId="0" xr:uid="{B7A9540C-E2F1-4DD3-8D5E-095AEA26A8E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OHCA Work</t>
      </text>
    </comment>
    <comment ref="A38" authorId="2" shapeId="0" xr:uid="{6D4530A6-2E98-41EF-9B8E-975E6947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ACCESS model wrok</t>
      </text>
    </comment>
    <comment ref="R39" authorId="3" shapeId="0" xr:uid="{208C3EDF-7D46-48F5-963E-733151E0EA9E}">
      <text>
        <t>[Threaded comment]
Your version of Excel allows you to read this threaded comment; however, any edits to it will get removed if the file is opened in a newer version of Excel. Learn more: https://go.microsoft.com/fwlink/?linkid=870924
Comment:
    “OHCA projections wide.csv” in OHCA inputs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tc={64E94546-2E77-46CC-A321-424BF63581AB}</author>
    <author>tc={BB03EDF5-1F06-4CDA-836D-42F5B54B1E34}</author>
    <author>tc={55123BBD-0923-4AB0-9C4B-6AD26AE51418}</author>
    <author>tc={D9780360-3DBC-481B-9F8B-158E679D36AA}</author>
  </authors>
  <commentList>
    <comment ref="B42" authorId="0" shapeId="0" xr:uid="{64E94546-2E77-46CC-A321-424BF63581AB}">
      <text>
        <t>[Threaded comment]
Your version of Excel allows you to read this threaded comment; however, any edits to it will get removed if the file is opened in a newer version of Excel. Learn more: https://go.microsoft.com/fwlink/?linkid=870924
Comment:
    Li 2026</t>
      </text>
    </comment>
    <comment ref="B43" authorId="1" shapeId="0" xr:uid="{BB03EDF5-1F06-4CDA-836D-42F5B54B1E3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ensure RR frail &gt; RR pre-frail</t>
      </text>
    </comment>
    <comment ref="B46" authorId="2" shapeId="0" xr:uid="{55123BBD-0923-4AB0-9C4B-6AD26AE514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Serra-Prat 2017</t>
      </text>
    </comment>
    <comment ref="B47" authorId="3" shapeId="0" xr:uid="{D9780360-3DBC-481B-9F8B-158E679D36AA}">
      <text>
        <t>[Threaded comment]
Your version of Excel allows you to read this threaded comment; however, any edits to it will get removed if the file is opened in a newer version of Excel. Learn more: https://go.microsoft.com/fwlink/?linkid=870924
Comment:
    Arbitrary</t>
      </text>
    </comment>
  </commentList>
</comments>
</file>

<file path=xl/sharedStrings.xml><?xml version="1.0" encoding="utf-8"?>
<sst xmlns="http://schemas.openxmlformats.org/spreadsheetml/2006/main" count="1428" uniqueCount="324">
  <si>
    <t>age-specific baseline mortality rate[male, age]</t>
  </si>
  <si>
    <t>age-specific baseline mortality rate[female, age]</t>
  </si>
  <si>
    <t>gender proportion of babies[gender]</t>
  </si>
  <si>
    <t>resident population[Chinese, male, age]</t>
  </si>
  <si>
    <t>resident population[Chinese, female, age]</t>
  </si>
  <si>
    <t>resident population[Malay, male, age]</t>
  </si>
  <si>
    <t>resident population[Malay, female, age]</t>
  </si>
  <si>
    <t>resident population[Indian, male, age]</t>
  </si>
  <si>
    <t>resident population[Indian, female, age]</t>
  </si>
  <si>
    <t>resident population[Other, male, age]</t>
  </si>
  <si>
    <t>resident population[Other, female, age]</t>
  </si>
  <si>
    <t>NewBorn</t>
  </si>
  <si>
    <t>Age00</t>
  </si>
  <si>
    <t>Age01</t>
  </si>
  <si>
    <t>Age02</t>
  </si>
  <si>
    <t>Age03</t>
  </si>
  <si>
    <t>Age04</t>
  </si>
  <si>
    <t>Age05</t>
  </si>
  <si>
    <t>Age06</t>
  </si>
  <si>
    <t>Age07</t>
  </si>
  <si>
    <t>Age08</t>
  </si>
  <si>
    <t>Age09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</si>
  <si>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</si>
  <si>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</si>
  <si>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</si>
  <si>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</si>
  <si>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</si>
  <si>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</si>
  <si>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</si>
  <si>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</si>
  <si>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</si>
  <si>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</si>
  <si>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</si>
  <si>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</si>
  <si>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</si>
  <si>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</si>
  <si>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</si>
  <si>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</si>
  <si>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</si>
  <si>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</si>
  <si>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</si>
  <si>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</si>
  <si>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</si>
  <si>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</si>
  <si>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</si>
  <si>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</si>
  <si>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</si>
  <si>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</si>
  <si>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</si>
  <si>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</si>
  <si>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</si>
  <si>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</si>
  <si>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</si>
  <si>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</si>
  <si>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</si>
  <si>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</si>
  <si>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</si>
  <si>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</si>
  <si>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</si>
  <si>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</si>
  <si>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</si>
  <si>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</si>
  <si>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</si>
  <si>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</si>
  <si>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</si>
  <si>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</si>
  <si>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</si>
  <si>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</si>
  <si>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</si>
  <si>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</si>
  <si>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</si>
  <si>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</si>
  <si>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</si>
  <si>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</si>
  <si>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</si>
  <si>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</si>
  <si>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</si>
  <si>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</si>
  <si>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</si>
  <si>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</si>
  <si>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</si>
  <si>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</si>
  <si>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</si>
  <si>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Age71</t>
  </si>
  <si>
    <t>Age72</t>
  </si>
  <si>
    <t>Age73</t>
  </si>
  <si>
    <t>Age74</t>
  </si>
  <si>
    <t>Age75</t>
  </si>
  <si>
    <t>Age76</t>
  </si>
  <si>
    <t>Age77</t>
  </si>
  <si>
    <t>Age78</t>
  </si>
  <si>
    <t>Age79</t>
  </si>
  <si>
    <t>Age80</t>
  </si>
  <si>
    <t>Age81</t>
  </si>
  <si>
    <t>Age82</t>
  </si>
  <si>
    <t>Age83</t>
  </si>
  <si>
    <t>Age84</t>
  </si>
  <si>
    <t>Age85</t>
  </si>
  <si>
    <t>Age86</t>
  </si>
  <si>
    <t>Age87</t>
  </si>
  <si>
    <t>Age88</t>
  </si>
  <si>
    <t>Age89</t>
  </si>
  <si>
    <t>Age90</t>
  </si>
  <si>
    <t>Age91</t>
  </si>
  <si>
    <t>Age92</t>
  </si>
  <si>
    <t>Age93</t>
  </si>
  <si>
    <t>Age94</t>
  </si>
  <si>
    <t>Age95</t>
  </si>
  <si>
    <t>Age96</t>
  </si>
  <si>
    <t>Age97</t>
  </si>
  <si>
    <t>Age98</t>
  </si>
  <si>
    <t>Age99</t>
  </si>
  <si>
    <t>Age100and Over</t>
  </si>
  <si>
    <t>Male</t>
  </si>
  <si>
    <t>Female</t>
  </si>
  <si>
    <t>Chinese</t>
  </si>
  <si>
    <t>Malay</t>
  </si>
  <si>
    <t>Indian</t>
  </si>
  <si>
    <t>Other</t>
  </si>
  <si>
    <t>net migration rate[Chinese, male, age]</t>
  </si>
  <si>
    <t>net migration rate[Chinese, female, age]</t>
  </si>
  <si>
    <t>net migration rate[Malay, male, age]</t>
  </si>
  <si>
    <t>net migration rate[Malay, female, age]</t>
  </si>
  <si>
    <t>net migration rate[Indian, male, age]</t>
  </si>
  <si>
    <t>net migration rate[Indian, female, age]</t>
  </si>
  <si>
    <t>net migration rate[Other, male, age]</t>
  </si>
  <si>
    <t>net migration rate[Other, female, age]</t>
  </si>
  <si>
    <t>target total resident population</t>
  </si>
  <si>
    <t>Module name</t>
  </si>
  <si>
    <t>Resident Population</t>
  </si>
  <si>
    <t>Frail Population.age as a number[age]</t>
  </si>
  <si>
    <t>Frail Population.frail diagnosed[Chinese, male, age]</t>
  </si>
  <si>
    <t>Frail Population.frail diagnosed[Chinese, female, age]</t>
  </si>
  <si>
    <t>Frail Population.frail diagnosed[Malay, male, age]</t>
  </si>
  <si>
    <t>Frail Population.frail diagnosed[Malay, female, age]</t>
  </si>
  <si>
    <t>Frail Population.frail diagnosed[Indian, male, age]</t>
  </si>
  <si>
    <t>Frail Population.frail diagnosed[Indian, female, age]</t>
  </si>
  <si>
    <t>Frail Population.frail diagnosed[Other, male, age]</t>
  </si>
  <si>
    <t>Frail Population.frail diagnosed[Other, female, age]</t>
  </si>
  <si>
    <t>Frail Population.relative risk mortality pre-frail diagnosed</t>
  </si>
  <si>
    <t>Frail Population</t>
  </si>
  <si>
    <t>Resident population initial values</t>
  </si>
  <si>
    <t>Net migration rate</t>
  </si>
  <si>
    <t>Mortality relative risks</t>
  </si>
  <si>
    <t>Age group</t>
  </si>
  <si>
    <t>60-74</t>
  </si>
  <si>
    <t>75-84</t>
  </si>
  <si>
    <t>&gt;=85</t>
  </si>
  <si>
    <t>Sex</t>
  </si>
  <si>
    <t>Race</t>
  </si>
  <si>
    <t>Robust</t>
  </si>
  <si>
    <t>Pre-frail</t>
  </si>
  <si>
    <t>Frail</t>
  </si>
  <si>
    <t>Frail Population.initial frailty prevalence[Chinese, male, age]</t>
  </si>
  <si>
    <t>Frail Population.initial frailty prevalence[Chinese, female, age]</t>
  </si>
  <si>
    <t>Frail Population.initial frailty prevalence[Malay, male, age]</t>
  </si>
  <si>
    <t>Frail Population.initial frailty prevalence[Malay, female, age]</t>
  </si>
  <si>
    <t>Frail Population.initial frailty prevalence[Indian, male, age]</t>
  </si>
  <si>
    <t>Frail Population.initial frailty prevalence[Indian, female, age]</t>
  </si>
  <si>
    <t>Frail Population.initial frailty prevalence[Other, male, age]</t>
  </si>
  <si>
    <t>Frail Population.initial frailty prevalence[Other, female, age]</t>
  </si>
  <si>
    <t>Frail Population.Initial prefrailty prevalance[Chinese, male, age]</t>
  </si>
  <si>
    <t>Frail Population.Initial prefrailty prevalance[Chinese, female, age]</t>
  </si>
  <si>
    <t>Frail Population.Initial prefrailty prevalance[Malay, male, age]</t>
  </si>
  <si>
    <t>Frail Population.Initial prefrailty prevalance[Malay, female, age]</t>
  </si>
  <si>
    <t>Frail Population.Initial prefrailty prevalance[Indian, male, age]</t>
  </si>
  <si>
    <t>Frail Population.Initial prefrailty prevalance[Indian, female, age]</t>
  </si>
  <si>
    <t>Frail Population.Initial prefrailty prevalance[Other, male, age]</t>
  </si>
  <si>
    <t>Frail Population.Initial prefrailty prevalance[Other, female, age]</t>
  </si>
  <si>
    <t>Diagnosed initial stocks (two stocks)</t>
  </si>
  <si>
    <t>Total</t>
  </si>
  <si>
    <t>Classifier</t>
  </si>
  <si>
    <t>Category</t>
  </si>
  <si>
    <t>Robust %</t>
  </si>
  <si>
    <t>Pre-frail %</t>
  </si>
  <si>
    <t>Frail %</t>
  </si>
  <si>
    <t>Check (=1)</t>
  </si>
  <si>
    <t>Robust AF</t>
  </si>
  <si>
    <t>Pre-frail AF</t>
  </si>
  <si>
    <t>Frail AF</t>
  </si>
  <si>
    <t>Race / Sex</t>
  </si>
  <si>
    <t>Check (= 1.000)</t>
  </si>
  <si>
    <t>Variable</t>
  </si>
  <si>
    <t>Age 0</t>
  </si>
  <si>
    <t>Age 1</t>
  </si>
  <si>
    <t>Age 2</t>
  </si>
  <si>
    <t>Age 3</t>
  </si>
  <si>
    <t>Age 4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</si>
  <si>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</si>
  <si>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</si>
  <si>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</si>
  <si>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</si>
  <si>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</si>
  <si>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</si>
  <si>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</si>
  <si>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</si>
  <si>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</si>
  <si>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</si>
  <si>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</si>
  <si>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</si>
  <si>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</si>
  <si>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</si>
  <si>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</si>
  <si>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</si>
  <si>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</si>
  <si>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</si>
  <si>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</si>
  <si>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</si>
  <si>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25</t>
  </si>
  <si>
    <t>Age 26</t>
  </si>
  <si>
    <t>Age 27</t>
  </si>
  <si>
    <t>Age 28</t>
  </si>
  <si>
    <t>Age 29</t>
  </si>
  <si>
    <t>Age 30</t>
  </si>
  <si>
    <t>Age 31</t>
  </si>
  <si>
    <t>Age 32</t>
  </si>
  <si>
    <t>Age 33</t>
  </si>
  <si>
    <t>Age 34</t>
  </si>
  <si>
    <t>Age 35</t>
  </si>
  <si>
    <t>Age 36</t>
  </si>
  <si>
    <t>Age 37</t>
  </si>
  <si>
    <t>Age 38</t>
  </si>
  <si>
    <t>Age 39</t>
  </si>
  <si>
    <t>Age 40</t>
  </si>
  <si>
    <t>Age 41</t>
  </si>
  <si>
    <t>Age 42</t>
  </si>
  <si>
    <t>Age 43</t>
  </si>
  <si>
    <t>Age 44</t>
  </si>
  <si>
    <t>Age 45</t>
  </si>
  <si>
    <t>Age 46</t>
  </si>
  <si>
    <t>Age 47</t>
  </si>
  <si>
    <t>Age 48</t>
  </si>
  <si>
    <t>Age 49</t>
  </si>
  <si>
    <t>Age 50</t>
  </si>
  <si>
    <t>Age 51</t>
  </si>
  <si>
    <t>Age 52</t>
  </si>
  <si>
    <t>Age 53</t>
  </si>
  <si>
    <t>Age 54</t>
  </si>
  <si>
    <t>Age 55</t>
  </si>
  <si>
    <t>Age 56</t>
  </si>
  <si>
    <t>Age 57</t>
  </si>
  <si>
    <t>Age 58</t>
  </si>
  <si>
    <t>Age 59</t>
  </si>
  <si>
    <t>Age 60</t>
  </si>
  <si>
    <t>Age 61</t>
  </si>
  <si>
    <t>Age 62</t>
  </si>
  <si>
    <t>Age 63</t>
  </si>
  <si>
    <t>Age 64</t>
  </si>
  <si>
    <t>Age 65</t>
  </si>
  <si>
    <t>Age 66</t>
  </si>
  <si>
    <t>Age 67</t>
  </si>
  <si>
    <t>Age 68</t>
  </si>
  <si>
    <t>Age 69</t>
  </si>
  <si>
    <t>Age 70</t>
  </si>
  <si>
    <t>Age 71</t>
  </si>
  <si>
    <t>Age 72</t>
  </si>
  <si>
    <t>Age 73</t>
  </si>
  <si>
    <t>Age 74</t>
  </si>
  <si>
    <t>Age 75</t>
  </si>
  <si>
    <t>Age 76</t>
  </si>
  <si>
    <t>Age 77</t>
  </si>
  <si>
    <t>Age 78</t>
  </si>
  <si>
    <t>Age 79</t>
  </si>
  <si>
    <t>Age 80</t>
  </si>
  <si>
    <t>Age 81</t>
  </si>
  <si>
    <t>Age 82</t>
  </si>
  <si>
    <t>Age 83</t>
  </si>
  <si>
    <t>Age 84</t>
  </si>
  <si>
    <t>Age 85</t>
  </si>
  <si>
    <t>Frail Population.pre-frail diagnosed[Chinese, male, age]</t>
  </si>
  <si>
    <t>Frail Population.pre-frail diagnosed[Chinese, female, age]</t>
  </si>
  <si>
    <t>Frail Population.pre-frail diagnosed[Malay, male, age]</t>
  </si>
  <si>
    <t>Frail Population.pre-frail diagnosed[Malay, female, age]</t>
  </si>
  <si>
    <t>Frail Population.pre-frail diagnosed[Indian, male, age]</t>
  </si>
  <si>
    <t>Frail Population.pre-frail diagnosed[Indian, female, age]</t>
  </si>
  <si>
    <t>Frail Population.pre-frail diagnosed[Other, male, age]</t>
  </si>
  <si>
    <t>Frail Population.pre-frail diagnosed[Other, female, age]</t>
  </si>
  <si>
    <t>Frail Population.RR of transition for well managed</t>
  </si>
  <si>
    <t>Frail Population.proportion well managed</t>
  </si>
  <si>
    <t>Screening.screening sensitivity</t>
  </si>
  <si>
    <t>Screening.screening specificity</t>
  </si>
  <si>
    <t>Screening.screening threshold age</t>
  </si>
  <si>
    <t>Prefrail-&gt; Frail transition relative risks</t>
  </si>
  <si>
    <t>Frailty screening</t>
  </si>
  <si>
    <t>The Sheet 'Frailty_inputs_do_not_edit' should be saved as csv for reading by the Stella model</t>
  </si>
  <si>
    <t>It should not be edited except when you want to change the structure of inputs - e.g., add or remove an input.</t>
  </si>
  <si>
    <t>The other tabs have the editable inputs. If you want to change values, make the changes here and then save Tab 1 as a csv</t>
  </si>
  <si>
    <t>Screening.screening cap universal</t>
  </si>
  <si>
    <t>Screening.screening cap opportunistic</t>
  </si>
  <si>
    <t>Frail Population.frailty start age</t>
  </si>
  <si>
    <t>Prevalence initial stocks (two stocks; zero until 60)</t>
  </si>
  <si>
    <t>Frail Population.raw incidence rate pre-frail to frail[male, age]</t>
  </si>
  <si>
    <t>Frail Population.raw incidence rate pre-frail to frail[female, age]</t>
  </si>
  <si>
    <t>Frail Population.raw incidence rate robust to pre-frail[male, age]</t>
  </si>
  <si>
    <t>Frail Population.raw incidence rate robust to pre-frail[female, age]</t>
  </si>
  <si>
    <t>Resident Population.census total resident population</t>
  </si>
  <si>
    <t>Resident Population.census males per thousand females</t>
  </si>
  <si>
    <t>Resident Population.census OADR</t>
  </si>
  <si>
    <t>fertility rate[age]</t>
  </si>
  <si>
    <t>Metric</t>
  </si>
  <si>
    <t>Gender</t>
  </si>
  <si>
    <t>Age</t>
  </si>
  <si>
    <t>ASMR</t>
  </si>
  <si>
    <t>NA</t>
  </si>
  <si>
    <t>Births</t>
  </si>
  <si>
    <t>BirthsPer1000Women</t>
  </si>
  <si>
    <t>Deaths</t>
  </si>
  <si>
    <t>Female.proportion.0_39</t>
  </si>
  <si>
    <t>Female.proportion.40_64</t>
  </si>
  <si>
    <t>Female.proportion.65_84</t>
  </si>
  <si>
    <t>Female.proportion.85plus</t>
  </si>
  <si>
    <t>Male.proportion.0_39</t>
  </si>
  <si>
    <t>Male.proportion.40_64</t>
  </si>
  <si>
    <t>Male.proportion.65_84</t>
  </si>
  <si>
    <t>Male.proportion.85plus</t>
  </si>
  <si>
    <t>NetMigration</t>
  </si>
  <si>
    <t>NetMigrationFrac</t>
  </si>
  <si>
    <t>Residents</t>
  </si>
  <si>
    <t>ASMR and fertility rates are per 1000</t>
  </si>
  <si>
    <t>Start age</t>
  </si>
  <si>
    <t>Spead over</t>
  </si>
  <si>
    <t>Frailty transition rates; zero until 50, capped at 85</t>
  </si>
  <si>
    <t>Frail Population.multiplying factor for mortality of frail people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</si>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</sst>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"/>
    <numFmt numFmtId="165" formatCode="0.0%"/>
    <numFmt numFmtId="166" formatCode="0.000"/>
    <numFmt numFmtId="167" formatCode="0.0000"/>
    <numFmt numFmtId="168" formatCode="0.0"/>
    <numFmt numFmtId="169" formatCode="_-* #,##0_-;\-* #,##0_-;_-* &quot;-&quot;??_-;_-@_-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Garamond"/>
      <family val="1"/>
    </font>
    <font>
      <sz val="11"/>
      <color theme="4"/>
      <name val="Garamond"/>
      <family val="1"/>
    </font>
    <font>
      <b/>
      <sz val="11"/>
      <name val="Garamond"/>
      <family val="1"/>
    </font>
    <font>
      <b/>
      <sz val="11"/>
      <color theme="1"/>
      <name val="Garamond"/>
      <family val="1"/>
    </font>
    <font>
      <sz val="11"/>
      <color theme="5" tint="-0.249977111117893"/>
      <name val="Garamond"/>
      <family val="1"/>
    </font>
    <font>
      <b/>
      <sz val="11"/>
      <color theme="5" tint="-0.249977111117893"/>
      <name val="Garamond"/>
      <family val="1"/>
    </font>
    <font>
      <i/>
      <sz val="11"/>
      <color rgb="FF0070C0"/>
      <name val="Garamond"/>
      <family val="1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Garamond"/>
      <family val="1"/>
    </font>
    <font>
      <sz val="10"/>
      <color rgb="FF000000"/>
      <name val="Garamond"/>
      <family val="1"/>
    </font>
    <font>
      <sz val="11"/>
      <color rgb="FFC00000"/>
      <name val="Aptos Narrow"/>
      <family val="2"/>
      <scheme val="minor"/>
    </font>
    <font>
      <i/>
      <sz val="11"/>
      <color rgb="FFC00000"/>
      <name val="Garamond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19" fillId="0" borderId="0" xfId="0" applyFont="1"/>
    <xf numFmtId="164" fontId="19" fillId="0" borderId="0" xfId="0" applyNumberFormat="1" applyFont="1"/>
    <xf numFmtId="0" fontId="19" fillId="33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64" fontId="23" fillId="0" borderId="0" xfId="0" applyNumberFormat="1" applyFont="1"/>
    <xf numFmtId="0" fontId="24" fillId="0" borderId="0" xfId="0" applyFont="1"/>
    <xf numFmtId="0" fontId="25" fillId="0" borderId="0" xfId="0" applyFont="1"/>
    <xf numFmtId="0" fontId="27" fillId="34" borderId="0" xfId="42" applyFont="1" applyFill="1" applyAlignment="1">
      <alignment horizontal="center" vertical="center" wrapText="1"/>
    </xf>
    <xf numFmtId="0" fontId="26" fillId="0" borderId="0" xfId="42"/>
    <xf numFmtId="0" fontId="28" fillId="35" borderId="0" xfId="42" applyFont="1" applyFill="1" applyAlignment="1">
      <alignment horizontal="left" vertical="center"/>
    </xf>
    <xf numFmtId="0" fontId="28" fillId="35" borderId="0" xfId="42" applyFont="1" applyFill="1" applyAlignment="1">
      <alignment horizontal="center" vertical="center" wrapText="1"/>
    </xf>
    <xf numFmtId="0" fontId="28" fillId="36" borderId="0" xfId="42" applyFont="1" applyFill="1" applyAlignment="1">
      <alignment horizontal="left" vertical="center"/>
    </xf>
    <xf numFmtId="0" fontId="28" fillId="36" borderId="0" xfId="42" applyFont="1" applyFill="1" applyAlignment="1">
      <alignment horizontal="center" vertical="center" wrapText="1"/>
    </xf>
    <xf numFmtId="0" fontId="28" fillId="37" borderId="0" xfId="42" applyFont="1" applyFill="1" applyAlignment="1">
      <alignment horizontal="left" vertical="center"/>
    </xf>
    <xf numFmtId="0" fontId="28" fillId="37" borderId="0" xfId="42" applyFont="1" applyFill="1" applyAlignment="1">
      <alignment horizontal="center" vertical="center" wrapText="1"/>
    </xf>
    <xf numFmtId="165" fontId="28" fillId="35" borderId="0" xfId="42" applyNumberFormat="1" applyFont="1" applyFill="1" applyAlignment="1">
      <alignment horizontal="center" vertical="center" wrapText="1"/>
    </xf>
    <xf numFmtId="165" fontId="28" fillId="36" borderId="0" xfId="42" applyNumberFormat="1" applyFont="1" applyFill="1" applyAlignment="1">
      <alignment horizontal="center" vertical="center" wrapText="1"/>
    </xf>
    <xf numFmtId="165" fontId="28" fillId="37" borderId="0" xfId="42" applyNumberFormat="1" applyFont="1" applyFill="1" applyAlignment="1">
      <alignment horizontal="center" vertical="center" wrapText="1"/>
    </xf>
    <xf numFmtId="166" fontId="28" fillId="36" borderId="0" xfId="42" applyNumberFormat="1" applyFont="1" applyFill="1" applyAlignment="1">
      <alignment horizontal="center" vertical="center" wrapText="1"/>
    </xf>
    <xf numFmtId="166" fontId="28" fillId="37" borderId="0" xfId="42" applyNumberFormat="1" applyFont="1" applyFill="1" applyAlignment="1">
      <alignment horizontal="center" vertical="center" wrapText="1"/>
    </xf>
    <xf numFmtId="0" fontId="28" fillId="38" borderId="0" xfId="42" applyFont="1" applyFill="1" applyAlignment="1">
      <alignment horizontal="left" vertical="center"/>
    </xf>
    <xf numFmtId="165" fontId="28" fillId="38" borderId="0" xfId="42" applyNumberFormat="1" applyFont="1" applyFill="1" applyAlignment="1">
      <alignment horizontal="center" vertical="center" wrapText="1"/>
    </xf>
    <xf numFmtId="166" fontId="28" fillId="35" borderId="0" xfId="42" applyNumberFormat="1" applyFont="1" applyFill="1" applyAlignment="1">
      <alignment horizontal="center" vertical="center" wrapText="1"/>
    </xf>
    <xf numFmtId="166" fontId="28" fillId="38" borderId="0" xfId="42" applyNumberFormat="1" applyFont="1" applyFill="1" applyAlignment="1">
      <alignment horizontal="center" vertical="center" wrapText="1"/>
    </xf>
    <xf numFmtId="0" fontId="27" fillId="34" borderId="0" xfId="42" applyFont="1" applyFill="1" applyAlignment="1">
      <alignment horizontal="left" vertical="center"/>
    </xf>
    <xf numFmtId="1" fontId="28" fillId="39" borderId="0" xfId="42" applyNumberFormat="1" applyFont="1" applyFill="1" applyAlignment="1">
      <alignment horizontal="center" vertical="center" wrapText="1"/>
    </xf>
    <xf numFmtId="167" fontId="28" fillId="35" borderId="0" xfId="42" applyNumberFormat="1" applyFont="1" applyFill="1" applyAlignment="1">
      <alignment horizontal="center" vertical="center" wrapText="1"/>
    </xf>
    <xf numFmtId="167" fontId="28" fillId="37" borderId="0" xfId="42" applyNumberFormat="1" applyFont="1" applyFill="1" applyAlignment="1">
      <alignment horizontal="center" vertical="center" wrapText="1"/>
    </xf>
    <xf numFmtId="167" fontId="28" fillId="38" borderId="0" xfId="42" applyNumberFormat="1" applyFont="1" applyFill="1" applyAlignment="1">
      <alignment horizontal="center" vertical="center" wrapText="1"/>
    </xf>
    <xf numFmtId="1" fontId="25" fillId="0" borderId="0" xfId="0" applyNumberFormat="1" applyFont="1"/>
    <xf numFmtId="166" fontId="25" fillId="0" borderId="0" xfId="0" applyNumberFormat="1" applyFont="1"/>
    <xf numFmtId="166" fontId="19" fillId="0" borderId="0" xfId="0" applyNumberFormat="1" applyFont="1"/>
    <xf numFmtId="2" fontId="19" fillId="0" borderId="0" xfId="0" applyNumberFormat="1" applyFont="1"/>
    <xf numFmtId="0" fontId="29" fillId="34" borderId="0" xfId="42" applyFont="1" applyFill="1" applyAlignment="1">
      <alignment horizontal="center" vertical="center" wrapText="1"/>
    </xf>
    <xf numFmtId="0" fontId="30" fillId="35" borderId="0" xfId="42" applyFont="1" applyFill="1" applyAlignment="1">
      <alignment horizontal="left" vertical="center"/>
    </xf>
    <xf numFmtId="165" fontId="30" fillId="35" borderId="0" xfId="42" applyNumberFormat="1" applyFont="1" applyFill="1" applyAlignment="1">
      <alignment horizontal="center" vertical="center" wrapText="1"/>
    </xf>
    <xf numFmtId="0" fontId="19" fillId="0" borderId="0" xfId="42" applyFont="1"/>
    <xf numFmtId="0" fontId="30" fillId="36" borderId="0" xfId="42" applyFont="1" applyFill="1" applyAlignment="1">
      <alignment horizontal="left" vertical="center"/>
    </xf>
    <xf numFmtId="165" fontId="30" fillId="36" borderId="0" xfId="42" applyNumberFormat="1" applyFont="1" applyFill="1" applyAlignment="1">
      <alignment horizontal="center" vertical="center" wrapText="1"/>
    </xf>
    <xf numFmtId="0" fontId="30" fillId="37" borderId="0" xfId="42" applyFont="1" applyFill="1" applyAlignment="1">
      <alignment horizontal="left" vertical="center"/>
    </xf>
    <xf numFmtId="165" fontId="30" fillId="37" borderId="0" xfId="42" applyNumberFormat="1" applyFont="1" applyFill="1" applyAlignment="1">
      <alignment horizontal="center" vertical="center" wrapText="1"/>
    </xf>
    <xf numFmtId="0" fontId="31" fillId="0" borderId="0" xfId="0" applyFont="1"/>
    <xf numFmtId="168" fontId="19" fillId="0" borderId="0" xfId="0" applyNumberFormat="1" applyFont="1"/>
    <xf numFmtId="11" fontId="0" fillId="0" borderId="0" xfId="0" applyNumberFormat="1"/>
    <xf numFmtId="0" fontId="32" fillId="0" borderId="0" xfId="0" applyFont="1"/>
    <xf numFmtId="169" fontId="19" fillId="0" borderId="0" xfId="43" applyNumberFormat="1" applyFont="1"/>
    <xf numFmtId="167" fontId="28" fillId="39" borderId="0" xfId="42" applyNumberFormat="1" applyFont="1" applyFill="1" applyAlignment="1">
      <alignment horizontal="center" vertical="center" wrapText="1"/>
    </xf>
    <xf numFmtId="0" fontId="27" fillId="34" borderId="0" xfId="42" applyFont="1" applyFill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E338661-7956-4570-A7FD-053B94F2BAA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Frail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'5f. Prevalence 6'!$AZ$1:$CI$1</c:f>
              <c:strCache>
                <c:ptCount val="36"/>
                <c:pt idx="0">
                  <c:v>Age 50</c:v>
                </c:pt>
                <c:pt idx="1">
                  <c:v>Age 51</c:v>
                </c:pt>
                <c:pt idx="2">
                  <c:v>Age 52</c:v>
                </c:pt>
                <c:pt idx="3">
                  <c:v>Age 53</c:v>
                </c:pt>
                <c:pt idx="4">
                  <c:v>Age 54</c:v>
                </c:pt>
                <c:pt idx="5">
                  <c:v>Age 55</c:v>
                </c:pt>
                <c:pt idx="6">
                  <c:v>Age 56</c:v>
                </c:pt>
                <c:pt idx="7">
                  <c:v>Age 57</c:v>
                </c:pt>
                <c:pt idx="8">
                  <c:v>Age 58</c:v>
                </c:pt>
                <c:pt idx="9">
                  <c:v>Age 59</c:v>
                </c:pt>
                <c:pt idx="10">
                  <c:v>Age 60</c:v>
                </c:pt>
                <c:pt idx="11">
                  <c:v>Age 61</c:v>
                </c:pt>
                <c:pt idx="12">
                  <c:v>Age 62</c:v>
                </c:pt>
                <c:pt idx="13">
                  <c:v>Age 63</c:v>
                </c:pt>
                <c:pt idx="14">
                  <c:v>Age 64</c:v>
                </c:pt>
                <c:pt idx="15">
                  <c:v>Age 65</c:v>
                </c:pt>
                <c:pt idx="16">
                  <c:v>Age 66</c:v>
                </c:pt>
                <c:pt idx="17">
                  <c:v>Age 67</c:v>
                </c:pt>
                <c:pt idx="18">
                  <c:v>Age 68</c:v>
                </c:pt>
                <c:pt idx="19">
                  <c:v>Age 69</c:v>
                </c:pt>
                <c:pt idx="20">
                  <c:v>Age 70</c:v>
                </c:pt>
                <c:pt idx="21">
                  <c:v>Age 71</c:v>
                </c:pt>
                <c:pt idx="22">
                  <c:v>Age 72</c:v>
                </c:pt>
                <c:pt idx="23">
                  <c:v>Age 73</c:v>
                </c:pt>
                <c:pt idx="24">
                  <c:v>Age 74</c:v>
                </c:pt>
                <c:pt idx="25">
                  <c:v>Age 75</c:v>
                </c:pt>
                <c:pt idx="26">
                  <c:v>Age 76</c:v>
                </c:pt>
                <c:pt idx="27">
                  <c:v>Age 77</c:v>
                </c:pt>
                <c:pt idx="28">
                  <c:v>Age 78</c:v>
                </c:pt>
                <c:pt idx="29">
                  <c:v>Age 79</c:v>
                </c:pt>
                <c:pt idx="30">
                  <c:v>Age 80</c:v>
                </c:pt>
                <c:pt idx="31">
                  <c:v>Age 81</c:v>
                </c:pt>
                <c:pt idx="32">
                  <c:v>Age 82</c:v>
                </c:pt>
                <c:pt idx="33">
                  <c:v>Age 83</c:v>
                </c:pt>
                <c:pt idx="34">
                  <c:v>Age 84</c:v>
                </c:pt>
                <c:pt idx="35">
                  <c:v>Age 85</c:v>
                </c:pt>
              </c:strCache>
            </c:strRef>
          </c:cat>
          <c:val>
            <c:numRef>
              <c:f>'5f. Prevalence 6'!$AZ$3:$CI$3</c:f>
              <c:numCache>
                <c:formatCode>0.0000</c:formatCode>
                <c:ptCount val="36"/>
                <c:pt idx="0">
                  <c:v>3.204032616396298E-3</c:v>
                </c:pt>
                <c:pt idx="1">
                  <c:v>6.4080652327925961E-3</c:v>
                </c:pt>
                <c:pt idx="2">
                  <c:v>9.6120978491888946E-3</c:v>
                </c:pt>
                <c:pt idx="3">
                  <c:v>1.2816130465585192E-2</c:v>
                </c:pt>
                <c:pt idx="4">
                  <c:v>1.6020163081981491E-2</c:v>
                </c:pt>
                <c:pt idx="5">
                  <c:v>1.9224195698377789E-2</c:v>
                </c:pt>
                <c:pt idx="6">
                  <c:v>2.2428228314774087E-2</c:v>
                </c:pt>
                <c:pt idx="7">
                  <c:v>2.5632260931170384E-2</c:v>
                </c:pt>
                <c:pt idx="8">
                  <c:v>2.8836293547566682E-2</c:v>
                </c:pt>
                <c:pt idx="9">
                  <c:v>3.2040326163962983E-2</c:v>
                </c:pt>
                <c:pt idx="10">
                  <c:v>3.5244358780359281E-2</c:v>
                </c:pt>
                <c:pt idx="11">
                  <c:v>3.5244358780359281E-2</c:v>
                </c:pt>
                <c:pt idx="12">
                  <c:v>3.5244358780359281E-2</c:v>
                </c:pt>
                <c:pt idx="13">
                  <c:v>3.5244358780359281E-2</c:v>
                </c:pt>
                <c:pt idx="14">
                  <c:v>3.5244358780359281E-2</c:v>
                </c:pt>
                <c:pt idx="15">
                  <c:v>3.5244358780359281E-2</c:v>
                </c:pt>
                <c:pt idx="16">
                  <c:v>3.5244358780359281E-2</c:v>
                </c:pt>
                <c:pt idx="17">
                  <c:v>3.5244358780359281E-2</c:v>
                </c:pt>
                <c:pt idx="18">
                  <c:v>3.5244358780359281E-2</c:v>
                </c:pt>
                <c:pt idx="19">
                  <c:v>3.5244358780359281E-2</c:v>
                </c:pt>
                <c:pt idx="20">
                  <c:v>3.5244358780359281E-2</c:v>
                </c:pt>
                <c:pt idx="21">
                  <c:v>3.5244358780359281E-2</c:v>
                </c:pt>
                <c:pt idx="22">
                  <c:v>3.5244358780359281E-2</c:v>
                </c:pt>
                <c:pt idx="23">
                  <c:v>3.5244358780359281E-2</c:v>
                </c:pt>
                <c:pt idx="24">
                  <c:v>3.5244358780359281E-2</c:v>
                </c:pt>
                <c:pt idx="25">
                  <c:v>0.10916871872487391</c:v>
                </c:pt>
                <c:pt idx="26">
                  <c:v>0.10916871872487391</c:v>
                </c:pt>
                <c:pt idx="27">
                  <c:v>0.10916871872487391</c:v>
                </c:pt>
                <c:pt idx="28">
                  <c:v>0.10916871872487391</c:v>
                </c:pt>
                <c:pt idx="29">
                  <c:v>0.10916871872487391</c:v>
                </c:pt>
                <c:pt idx="30">
                  <c:v>0.10916871872487391</c:v>
                </c:pt>
                <c:pt idx="31">
                  <c:v>0.10916871872487391</c:v>
                </c:pt>
                <c:pt idx="32">
                  <c:v>0.10916871872487391</c:v>
                </c:pt>
                <c:pt idx="33">
                  <c:v>0.10916871872487391</c:v>
                </c:pt>
                <c:pt idx="34">
                  <c:v>0.10916871872487391</c:v>
                </c:pt>
                <c:pt idx="35">
                  <c:v>0.25222712297347016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E-455B-932C-79E430D23C85}"/>
            </c:ext>
          </c:extLst>
        </c:ser>
        <c:ser>
          <c:idx val="1"/>
          <c:order val="1"/>
          <c:tx>
            <c:v>Pre-frail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'5f. Prevalence 6'!$AZ$11:$CI$11</c:f>
              <c:numCache>
                <c:formatCode>0.0000</c:formatCode>
                <c:ptCount val="36"/>
                <c:pt idx="0">
                  <c:v>3.8072712307428459E-2</c:v>
                </c:pt>
                <c:pt idx="1">
                  <c:v>7.6145424614856919E-2</c:v>
                </c:pt>
                <c:pt idx="2">
                  <c:v>0.11421813692228538</c:v>
                </c:pt>
                <c:pt idx="3">
                  <c:v>0.15229084922971384</c:v>
                </c:pt>
                <c:pt idx="4">
                  <c:v>0.19036356153714229</c:v>
                </c:pt>
                <c:pt idx="5">
                  <c:v>0.22843627384457077</c:v>
                </c:pt>
                <c:pt idx="6">
                  <c:v>0.26650898615199919</c:v>
                </c:pt>
                <c:pt idx="7">
                  <c:v>0.30458169845942767</c:v>
                </c:pt>
                <c:pt idx="8">
                  <c:v>0.34265441076685615</c:v>
                </c:pt>
                <c:pt idx="9">
                  <c:v>0.38072712307428458</c:v>
                </c:pt>
                <c:pt idx="10">
                  <c:v>0.41879983538171306</c:v>
                </c:pt>
                <c:pt idx="11">
                  <c:v>0.41879983538171306</c:v>
                </c:pt>
                <c:pt idx="12">
                  <c:v>0.41879983538171306</c:v>
                </c:pt>
                <c:pt idx="13">
                  <c:v>0.41879983538171306</c:v>
                </c:pt>
                <c:pt idx="14">
                  <c:v>0.41879983538171306</c:v>
                </c:pt>
                <c:pt idx="15">
                  <c:v>0.41879983538171306</c:v>
                </c:pt>
                <c:pt idx="16">
                  <c:v>0.41879983538171306</c:v>
                </c:pt>
                <c:pt idx="17">
                  <c:v>0.41879983538171306</c:v>
                </c:pt>
                <c:pt idx="18">
                  <c:v>0.41879983538171306</c:v>
                </c:pt>
                <c:pt idx="19">
                  <c:v>0.41879983538171306</c:v>
                </c:pt>
                <c:pt idx="20">
                  <c:v>0.41879983538171306</c:v>
                </c:pt>
                <c:pt idx="21">
                  <c:v>0.41879983538171306</c:v>
                </c:pt>
                <c:pt idx="22">
                  <c:v>0.41879983538171306</c:v>
                </c:pt>
                <c:pt idx="23">
                  <c:v>0.41879983538171306</c:v>
                </c:pt>
                <c:pt idx="24">
                  <c:v>0.41879983538171306</c:v>
                </c:pt>
                <c:pt idx="25">
                  <c:v>0.53994594180539168</c:v>
                </c:pt>
                <c:pt idx="26">
                  <c:v>0.53994594180539168</c:v>
                </c:pt>
                <c:pt idx="27">
                  <c:v>0.53994594180539168</c:v>
                </c:pt>
                <c:pt idx="28">
                  <c:v>0.53994594180539168</c:v>
                </c:pt>
                <c:pt idx="29">
                  <c:v>0.53994594180539168</c:v>
                </c:pt>
                <c:pt idx="30">
                  <c:v>0.53994594180539168</c:v>
                </c:pt>
                <c:pt idx="31">
                  <c:v>0.53994594180539168</c:v>
                </c:pt>
                <c:pt idx="32">
                  <c:v>0.53994594180539168</c:v>
                </c:pt>
                <c:pt idx="33">
                  <c:v>0.53994594180539168</c:v>
                </c:pt>
                <c:pt idx="34">
                  <c:v>0.53994594180539168</c:v>
                </c:pt>
                <c:pt idx="35">
                  <c:v>0.54832431489987699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E-455B-932C-79E430D2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138336"/>
        <c:axId val="2082134976"/>
      </c:lineChart>
      <c:catAx>
        <c:axId val="20821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82134976"/>
        <c:crosses val="autoZero"/>
        <c:auto val="1"/>
        <c:lblAlgn val="ctr"/>
        <c:lblOffset val="100"/>
        <c:noMultiLvlLbl val="0"/>
      </c:catAx>
      <c:valAx>
        <c:axId val="20821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GB"/>
                  <a:t>Proportion</a:t>
                </a:r>
                <a:r>
                  <a:rPr lang="en-GB" baseline="0"/>
                  <a:t> of individuals pre-frail or frail, Chinese females, by age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0821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76199</xdr:colOff>
      <xdr:row>17</xdr:row>
      <xdr:rowOff>114299</xdr:rowOff>
    </xdr:from>
    <xdr:to>
      <xdr:col>75</xdr:col>
      <xdr:colOff>104774</xdr:colOff>
      <xdr:row>34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AB870-0D74-0448-8113-9998AB09F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ish Kumar" id="{584A2C99-4EE0-4792-802E-083B39947A07}" userId="Ashish Kumar" providerId="None"/>
  <person displayName="Ashish Kumar" id="{705B6E28-0932-4289-9F10-B3A2F4055B3F}" userId="S::gmsashk@nus.edu.sg::d2a7b41b-a905-4b24-b2cc-82d00bfec8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6-24T09:52:41.87" personId="{705B6E28-0932-4289-9F10-B3A2F4055B3F}" id="{5BD964C9-7DAD-451A-BCBF-6E168B961148}">
    <text>ASMR now from OHCA work</text>
  </threadedComment>
  <threadedComment ref="A23" dT="2026-06-25T05:22:38.14" personId="{705B6E28-0932-4289-9F10-B3A2F4055B3F}" id="{B7A9540C-E2F1-4DD3-8D5E-095AEA26A8E0}">
    <text>From OHCA Work</text>
  </threadedComment>
  <threadedComment ref="A38" dT="2026-06-25T05:16:18.27" personId="{705B6E28-0932-4289-9F10-B3A2F4055B3F}" id="{6D4530A6-2E98-41EF-9B8E-975E69474EEA}">
    <text>From ACCESS model wrok</text>
  </threadedComment>
  <threadedComment ref="R39" dT="2026-06-24T09:20:08.28" personId="{705B6E28-0932-4289-9F10-B3A2F4055B3F}" id="{208C3EDF-7D46-48F5-963E-733151E0EA9E}">
    <text>“OHCA projections wide.csv” in OHCA inputs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2" dT="2026-06-25T13:46:38.83" personId="{584A2C99-4EE0-4792-802E-083B39947A07}" id="{64E94546-2E77-46CC-A321-424BF63581AB}">
    <text>Li 2026</text>
  </threadedComment>
  <threadedComment ref="B43" dT="2026-06-25T13:32:19.43" personId="{584A2C99-4EE0-4792-802E-083B39947A07}" id="{BB03EDF5-1F06-4CDA-836D-42F5B54B1E34}">
    <text>Used to ensure RR frail &gt; RR pre-frail</text>
  </threadedComment>
  <threadedComment ref="B46" dT="2026-03-23T08:14:19.23" personId="{705B6E28-0932-4289-9F10-B3A2F4055B3F}" id="{55123BBD-0923-4AB0-9C4B-6AD26AE51418}">
    <text>Serra-Prat 2017</text>
  </threadedComment>
  <threadedComment ref="B47" dT="2026-03-23T08:14:45.72" personId="{705B6E28-0932-4289-9F10-B3A2F4055B3F}" id="{D9780360-3DBC-481B-9F8B-158E679D36AA}">
    <text>Arbitrary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4F9A-CA55-4316-98F6-D8B301C1C0EA}">
  <dimension ref="A2:A4"/>
  <sheetViews>
    <sheetView workbookViewId="0">
      <selection activeCell="D15" sqref="D15"/>
    </sheetView>
  </sheetViews>
  <sheetFormatPr defaultRowHeight="14.25" x14ac:dyDescent="0.45"/>
  <sheetData>
    <row r="2" spans="1:1" x14ac:dyDescent="0.45">
      <c r="A2" s="2" t="s">
        <v>284</v>
      </c>
    </row>
    <row r="3" spans="1:1" x14ac:dyDescent="0.45">
      <c r="A3" s="2" t="s">
        <v>285</v>
      </c>
    </row>
    <row r="4" spans="1:1" x14ac:dyDescent="0.45">
      <c r="A4" s="2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660-4DA0-4FCC-ACCE-88ABC7756660}">
  <sheetPr>
    <tabColor rgb="FFFFC000"/>
  </sheetPr>
  <dimension ref="A1:CY67"/>
  <sheetViews>
    <sheetView topLeftCell="A42" workbookViewId="0">
      <selection activeCell="A58" sqref="A58:XFD58"/>
    </sheetView>
  </sheetViews>
  <sheetFormatPr defaultRowHeight="14.25" x14ac:dyDescent="0.45"/>
  <cols>
    <col min="1" max="1" width="63.265625" bestFit="1" customWidth="1"/>
  </cols>
  <sheetData>
    <row r="1" spans="1:103" x14ac:dyDescent="0.45">
      <c r="A1" t="str">
        <f>_xlfn.CONCAT('2 Resident Population'!B1,".",'2 Resident Population'!A4)</f>
        <v>Resident Population.age-specific baseline mortality rate[male, age]</v>
      </c>
      <c r="B1">
        <f>'2 Resident Population'!B4</f>
        <v>1.9937500000000001</v>
      </c>
      <c r="C1">
        <f>'2 Resident Population'!C4</f>
        <v>1.9937500000000001</v>
      </c>
      <c r="D1">
        <f>'2 Resident Population'!D4</f>
        <v>0.14375000000000004</v>
      </c>
      <c r="E1">
        <f>'2 Resident Population'!E4</f>
        <v>0.14375000000000004</v>
      </c>
      <c r="F1">
        <f>'2 Resident Population'!F4</f>
        <v>0.14375000000000004</v>
      </c>
      <c r="G1">
        <f>'2 Resident Population'!G4</f>
        <v>0.14375000000000004</v>
      </c>
      <c r="H1">
        <f>'2 Resident Population'!H4</f>
        <v>9.9999999999999992E-2</v>
      </c>
      <c r="I1">
        <f>'2 Resident Population'!I4</f>
        <v>9.9999999999999992E-2</v>
      </c>
      <c r="J1">
        <f>'2 Resident Population'!J4</f>
        <v>9.9999999999999992E-2</v>
      </c>
      <c r="K1">
        <f>'2 Resident Population'!K4</f>
        <v>9.9999999999999992E-2</v>
      </c>
      <c r="L1">
        <f>'2 Resident Population'!L4</f>
        <v>9.9999999999999992E-2</v>
      </c>
      <c r="M1">
        <f>'2 Resident Population'!M4</f>
        <v>0.12857142857142859</v>
      </c>
      <c r="N1">
        <f>'2 Resident Population'!N4</f>
        <v>0.12857142857142859</v>
      </c>
      <c r="O1">
        <f>'2 Resident Population'!O4</f>
        <v>0.12857142857142859</v>
      </c>
      <c r="P1">
        <f>'2 Resident Population'!P4</f>
        <v>0.12857142857142859</v>
      </c>
      <c r="Q1">
        <f>'2 Resident Population'!Q4</f>
        <v>0.12857142857142859</v>
      </c>
      <c r="R1">
        <f>'2 Resident Population'!R4</f>
        <v>0.24375000000000002</v>
      </c>
      <c r="S1">
        <f>'2 Resident Population'!S4</f>
        <v>0.24375000000000002</v>
      </c>
      <c r="T1">
        <f>'2 Resident Population'!T4</f>
        <v>0.24375000000000002</v>
      </c>
      <c r="U1">
        <f>'2 Resident Population'!U4</f>
        <v>0.24375000000000002</v>
      </c>
      <c r="V1">
        <f>'2 Resident Population'!V4</f>
        <v>0.24375000000000002</v>
      </c>
      <c r="W1">
        <f>'2 Resident Population'!W4</f>
        <v>0.375</v>
      </c>
      <c r="X1">
        <f>'2 Resident Population'!X4</f>
        <v>0.375</v>
      </c>
      <c r="Y1">
        <f>'2 Resident Population'!Y4</f>
        <v>0.375</v>
      </c>
      <c r="Z1">
        <f>'2 Resident Population'!Z4</f>
        <v>0.375</v>
      </c>
      <c r="AA1">
        <f>'2 Resident Population'!AA4</f>
        <v>0.375</v>
      </c>
      <c r="AB1">
        <f>'2 Resident Population'!AB4</f>
        <v>0.38124999999999998</v>
      </c>
      <c r="AC1">
        <f>'2 Resident Population'!AC4</f>
        <v>0.38124999999999998</v>
      </c>
      <c r="AD1">
        <f>'2 Resident Population'!AD4</f>
        <v>0.38124999999999998</v>
      </c>
      <c r="AE1">
        <f>'2 Resident Population'!AE4</f>
        <v>0.38124999999999998</v>
      </c>
      <c r="AF1">
        <f>'2 Resident Population'!AF4</f>
        <v>0.38124999999999998</v>
      </c>
      <c r="AG1">
        <f>'2 Resident Population'!AG4</f>
        <v>0.46250000000000008</v>
      </c>
      <c r="AH1">
        <f>'2 Resident Population'!AH4</f>
        <v>0.46250000000000008</v>
      </c>
      <c r="AI1">
        <f>'2 Resident Population'!AI4</f>
        <v>0.46250000000000008</v>
      </c>
      <c r="AJ1">
        <f>'2 Resident Population'!AJ4</f>
        <v>0.46250000000000008</v>
      </c>
      <c r="AK1">
        <f>'2 Resident Population'!AK4</f>
        <v>0.46250000000000008</v>
      </c>
      <c r="AL1">
        <f>'2 Resident Population'!AL4</f>
        <v>0.64999999999999991</v>
      </c>
      <c r="AM1">
        <f>'2 Resident Population'!AM4</f>
        <v>0.64999999999999991</v>
      </c>
      <c r="AN1">
        <f>'2 Resident Population'!AN4</f>
        <v>0.64999999999999991</v>
      </c>
      <c r="AO1">
        <f>'2 Resident Population'!AO4</f>
        <v>0.64999999999999991</v>
      </c>
      <c r="AP1">
        <f>'2 Resident Population'!AP4</f>
        <v>0.64999999999999991</v>
      </c>
      <c r="AQ1">
        <f>'2 Resident Population'!AQ4</f>
        <v>1.0749999999999997</v>
      </c>
      <c r="AR1">
        <f>'2 Resident Population'!AR4</f>
        <v>1.0749999999999997</v>
      </c>
      <c r="AS1">
        <f>'2 Resident Population'!AS4</f>
        <v>1.0749999999999997</v>
      </c>
      <c r="AT1">
        <f>'2 Resident Population'!AT4</f>
        <v>1.0749999999999997</v>
      </c>
      <c r="AU1">
        <f>'2 Resident Population'!AU4</f>
        <v>1.0749999999999997</v>
      </c>
      <c r="AV1">
        <f>'2 Resident Population'!AV4</f>
        <v>1.8124999999999998</v>
      </c>
      <c r="AW1">
        <f>'2 Resident Population'!AW4</f>
        <v>1.8124999999999998</v>
      </c>
      <c r="AX1">
        <f>'2 Resident Population'!AX4</f>
        <v>1.8124999999999998</v>
      </c>
      <c r="AY1">
        <f>'2 Resident Population'!AY4</f>
        <v>1.8124999999999998</v>
      </c>
      <c r="AZ1">
        <f>'2 Resident Population'!AZ4</f>
        <v>1.8124999999999998</v>
      </c>
      <c r="BA1">
        <f>'2 Resident Population'!BA4</f>
        <v>3.0437500000000002</v>
      </c>
      <c r="BB1">
        <f>'2 Resident Population'!BB4</f>
        <v>3.0437500000000002</v>
      </c>
      <c r="BC1">
        <f>'2 Resident Population'!BC4</f>
        <v>3.0437500000000002</v>
      </c>
      <c r="BD1">
        <f>'2 Resident Population'!BD4</f>
        <v>3.0437500000000002</v>
      </c>
      <c r="BE1">
        <f>'2 Resident Population'!BE4</f>
        <v>3.0437500000000002</v>
      </c>
      <c r="BF1">
        <f>'2 Resident Population'!BF4</f>
        <v>5.1312500000000005</v>
      </c>
      <c r="BG1">
        <f>'2 Resident Population'!BG4</f>
        <v>5.1312500000000005</v>
      </c>
      <c r="BH1">
        <f>'2 Resident Population'!BH4</f>
        <v>5.1312500000000005</v>
      </c>
      <c r="BI1">
        <f>'2 Resident Population'!BI4</f>
        <v>5.1312500000000005</v>
      </c>
      <c r="BJ1">
        <f>'2 Resident Population'!BJ4</f>
        <v>5.1312500000000005</v>
      </c>
      <c r="BK1">
        <f>'2 Resident Population'!BK4</f>
        <v>8.34375</v>
      </c>
      <c r="BL1">
        <f>'2 Resident Population'!BL4</f>
        <v>8.34375</v>
      </c>
      <c r="BM1">
        <f>'2 Resident Population'!BM4</f>
        <v>8.34375</v>
      </c>
      <c r="BN1">
        <f>'2 Resident Population'!BN4</f>
        <v>8.34375</v>
      </c>
      <c r="BO1">
        <f>'2 Resident Population'!BO4</f>
        <v>8.34375</v>
      </c>
      <c r="BP1">
        <f>'2 Resident Population'!BP4</f>
        <v>13.56875</v>
      </c>
      <c r="BQ1">
        <f>'2 Resident Population'!BQ4</f>
        <v>13.56875</v>
      </c>
      <c r="BR1">
        <f>'2 Resident Population'!BR4</f>
        <v>13.56875</v>
      </c>
      <c r="BS1">
        <f>'2 Resident Population'!BS4</f>
        <v>13.56875</v>
      </c>
      <c r="BT1">
        <f>'2 Resident Population'!BT4</f>
        <v>13.56875</v>
      </c>
      <c r="BU1">
        <f>'2 Resident Population'!BU4</f>
        <v>22.768750000000001</v>
      </c>
      <c r="BV1">
        <f>'2 Resident Population'!BV4</f>
        <v>22.768750000000001</v>
      </c>
      <c r="BW1">
        <f>'2 Resident Population'!BW4</f>
        <v>22.768750000000001</v>
      </c>
      <c r="BX1">
        <f>'2 Resident Population'!BX4</f>
        <v>22.768750000000001</v>
      </c>
      <c r="BY1">
        <f>'2 Resident Population'!BY4</f>
        <v>22.768750000000001</v>
      </c>
      <c r="BZ1">
        <f>'2 Resident Population'!BZ4</f>
        <v>38.46875</v>
      </c>
      <c r="CA1">
        <f>'2 Resident Population'!CA4</f>
        <v>38.46875</v>
      </c>
      <c r="CB1">
        <f>'2 Resident Population'!CB4</f>
        <v>38.46875</v>
      </c>
      <c r="CC1">
        <f>'2 Resident Population'!CC4</f>
        <v>38.46875</v>
      </c>
      <c r="CD1">
        <f>'2 Resident Population'!CD4</f>
        <v>38.46875</v>
      </c>
      <c r="CE1">
        <f>'2 Resident Population'!CE4</f>
        <v>66.381250000000009</v>
      </c>
      <c r="CF1">
        <f>'2 Resident Population'!CF4</f>
        <v>66.381250000000009</v>
      </c>
      <c r="CG1">
        <f>'2 Resident Population'!CG4</f>
        <v>66.381250000000009</v>
      </c>
      <c r="CH1">
        <f>'2 Resident Population'!CH4</f>
        <v>66.381250000000009</v>
      </c>
      <c r="CI1">
        <f>'2 Resident Population'!CI4</f>
        <v>66.381250000000009</v>
      </c>
      <c r="CJ1">
        <f>'2 Resident Population'!CJ4</f>
        <v>110.47499999999999</v>
      </c>
      <c r="CK1">
        <f>'2 Resident Population'!CK4</f>
        <v>110.47499999999999</v>
      </c>
      <c r="CL1">
        <f>'2 Resident Population'!CL4</f>
        <v>110.47499999999999</v>
      </c>
      <c r="CM1">
        <f>'2 Resident Population'!CM4</f>
        <v>110.47499999999999</v>
      </c>
      <c r="CN1">
        <f>'2 Resident Population'!CN4</f>
        <v>110.47499999999999</v>
      </c>
      <c r="CO1">
        <f>'2 Resident Population'!CO4</f>
        <v>173.41249999999999</v>
      </c>
      <c r="CP1">
        <f>'2 Resident Population'!CP4</f>
        <v>173.41249999999999</v>
      </c>
      <c r="CQ1">
        <f>'2 Resident Population'!CQ4</f>
        <v>173.41249999999999</v>
      </c>
      <c r="CR1">
        <f>'2 Resident Population'!CR4</f>
        <v>173.41249999999999</v>
      </c>
      <c r="CS1">
        <f>'2 Resident Population'!CS4</f>
        <v>173.41249999999999</v>
      </c>
      <c r="CT1">
        <f>'2 Resident Population'!CT4</f>
        <v>173.41249999999999</v>
      </c>
      <c r="CU1">
        <f>'2 Resident Population'!CU4</f>
        <v>173.41249999999999</v>
      </c>
      <c r="CV1">
        <f>'2 Resident Population'!CV4</f>
        <v>173.41249999999999</v>
      </c>
      <c r="CW1">
        <f>'2 Resident Population'!CW4</f>
        <v>173.41249999999999</v>
      </c>
      <c r="CX1">
        <f>'2 Resident Population'!CX4</f>
        <v>173.41249999999999</v>
      </c>
      <c r="CY1">
        <f>'2 Resident Population'!CY4</f>
        <v>173.41249999999999</v>
      </c>
    </row>
    <row r="2" spans="1:103" x14ac:dyDescent="0.45">
      <c r="A2" t="str">
        <f>_xlfn.CONCAT('2 Resident Population'!B1,".",'2 Resident Population'!A5)</f>
        <v>Resident Population.age-specific baseline mortality rate[female, age]</v>
      </c>
      <c r="B2">
        <f>'2 Resident Population'!B5</f>
        <v>1.9375</v>
      </c>
      <c r="C2">
        <f>'2 Resident Population'!C5</f>
        <v>1.9375</v>
      </c>
      <c r="D2">
        <f>'2 Resident Population'!D5</f>
        <v>0.11333333333333334</v>
      </c>
      <c r="E2">
        <f>'2 Resident Population'!E5</f>
        <v>0.11333333333333334</v>
      </c>
      <c r="F2">
        <f>'2 Resident Population'!F5</f>
        <v>0.11333333333333334</v>
      </c>
      <c r="G2">
        <f>'2 Resident Population'!G5</f>
        <v>0.11333333333333334</v>
      </c>
      <c r="H2">
        <f>'2 Resident Population'!H5</f>
        <v>9.9999999999999992E-2</v>
      </c>
      <c r="I2">
        <f>'2 Resident Population'!I5</f>
        <v>9.9999999999999992E-2</v>
      </c>
      <c r="J2">
        <f>'2 Resident Population'!J5</f>
        <v>9.9999999999999992E-2</v>
      </c>
      <c r="K2">
        <f>'2 Resident Population'!K5</f>
        <v>9.9999999999999992E-2</v>
      </c>
      <c r="L2">
        <f>'2 Resident Population'!L5</f>
        <v>9.9999999999999992E-2</v>
      </c>
      <c r="M2">
        <f>'2 Resident Population'!M5</f>
        <v>0.1</v>
      </c>
      <c r="N2">
        <f>'2 Resident Population'!N5</f>
        <v>0.1</v>
      </c>
      <c r="O2">
        <f>'2 Resident Population'!O5</f>
        <v>0.1</v>
      </c>
      <c r="P2">
        <f>'2 Resident Population'!P5</f>
        <v>0.1</v>
      </c>
      <c r="Q2">
        <f>'2 Resident Population'!Q5</f>
        <v>0.1</v>
      </c>
      <c r="R2">
        <f>'2 Resident Population'!R5</f>
        <v>0.16250000000000003</v>
      </c>
      <c r="S2">
        <f>'2 Resident Population'!S5</f>
        <v>0.16250000000000003</v>
      </c>
      <c r="T2">
        <f>'2 Resident Population'!T5</f>
        <v>0.16250000000000003</v>
      </c>
      <c r="U2">
        <f>'2 Resident Population'!U5</f>
        <v>0.16250000000000003</v>
      </c>
      <c r="V2">
        <f>'2 Resident Population'!V5</f>
        <v>0.16250000000000003</v>
      </c>
      <c r="W2">
        <f>'2 Resident Population'!W5</f>
        <v>0.17500000000000004</v>
      </c>
      <c r="X2">
        <f>'2 Resident Population'!X5</f>
        <v>0.17500000000000004</v>
      </c>
      <c r="Y2">
        <f>'2 Resident Population'!Y5</f>
        <v>0.17500000000000004</v>
      </c>
      <c r="Z2">
        <f>'2 Resident Population'!Z5</f>
        <v>0.17500000000000004</v>
      </c>
      <c r="AA2">
        <f>'2 Resident Population'!AA5</f>
        <v>0.17500000000000004</v>
      </c>
      <c r="AB2">
        <f>'2 Resident Population'!AB5</f>
        <v>0.18125000000000005</v>
      </c>
      <c r="AC2">
        <f>'2 Resident Population'!AC5</f>
        <v>0.18125000000000005</v>
      </c>
      <c r="AD2">
        <f>'2 Resident Population'!AD5</f>
        <v>0.18125000000000005</v>
      </c>
      <c r="AE2">
        <f>'2 Resident Population'!AE5</f>
        <v>0.18125000000000005</v>
      </c>
      <c r="AF2">
        <f>'2 Resident Population'!AF5</f>
        <v>0.18125000000000005</v>
      </c>
      <c r="AG2">
        <f>'2 Resident Population'!AG5</f>
        <v>0.26250000000000001</v>
      </c>
      <c r="AH2">
        <f>'2 Resident Population'!AH5</f>
        <v>0.26250000000000001</v>
      </c>
      <c r="AI2">
        <f>'2 Resident Population'!AI5</f>
        <v>0.26250000000000001</v>
      </c>
      <c r="AJ2">
        <f>'2 Resident Population'!AJ5</f>
        <v>0.26250000000000001</v>
      </c>
      <c r="AK2">
        <f>'2 Resident Population'!AK5</f>
        <v>0.26250000000000001</v>
      </c>
      <c r="AL2">
        <f>'2 Resident Population'!AL5</f>
        <v>0.39375000000000004</v>
      </c>
      <c r="AM2">
        <f>'2 Resident Population'!AM5</f>
        <v>0.39375000000000004</v>
      </c>
      <c r="AN2">
        <f>'2 Resident Population'!AN5</f>
        <v>0.39375000000000004</v>
      </c>
      <c r="AO2">
        <f>'2 Resident Population'!AO5</f>
        <v>0.39375000000000004</v>
      </c>
      <c r="AP2">
        <f>'2 Resident Population'!AP5</f>
        <v>0.39375000000000004</v>
      </c>
      <c r="AQ2">
        <f>'2 Resident Population'!AQ5</f>
        <v>0.63124999999999987</v>
      </c>
      <c r="AR2">
        <f>'2 Resident Population'!AR5</f>
        <v>0.63124999999999987</v>
      </c>
      <c r="AS2">
        <f>'2 Resident Population'!AS5</f>
        <v>0.63124999999999987</v>
      </c>
      <c r="AT2">
        <f>'2 Resident Population'!AT5</f>
        <v>0.63124999999999987</v>
      </c>
      <c r="AU2">
        <f>'2 Resident Population'!AU5</f>
        <v>0.63124999999999987</v>
      </c>
      <c r="AV2">
        <f>'2 Resident Population'!AV5</f>
        <v>1.08125</v>
      </c>
      <c r="AW2">
        <f>'2 Resident Population'!AW5</f>
        <v>1.08125</v>
      </c>
      <c r="AX2">
        <f>'2 Resident Population'!AX5</f>
        <v>1.08125</v>
      </c>
      <c r="AY2">
        <f>'2 Resident Population'!AY5</f>
        <v>1.08125</v>
      </c>
      <c r="AZ2">
        <f>'2 Resident Population'!AZ5</f>
        <v>1.08125</v>
      </c>
      <c r="BA2">
        <f>'2 Resident Population'!BA5</f>
        <v>1.8062500000000004</v>
      </c>
      <c r="BB2">
        <f>'2 Resident Population'!BB5</f>
        <v>1.8062500000000004</v>
      </c>
      <c r="BC2">
        <f>'2 Resident Population'!BC5</f>
        <v>1.8062500000000004</v>
      </c>
      <c r="BD2">
        <f>'2 Resident Population'!BD5</f>
        <v>1.8062500000000004</v>
      </c>
      <c r="BE2">
        <f>'2 Resident Population'!BE5</f>
        <v>1.8062500000000004</v>
      </c>
      <c r="BF2">
        <f>'2 Resident Population'!BF5</f>
        <v>2.8562500000000002</v>
      </c>
      <c r="BG2">
        <f>'2 Resident Population'!BG5</f>
        <v>2.8562500000000002</v>
      </c>
      <c r="BH2">
        <f>'2 Resident Population'!BH5</f>
        <v>2.8562500000000002</v>
      </c>
      <c r="BI2">
        <f>'2 Resident Population'!BI5</f>
        <v>2.8562500000000002</v>
      </c>
      <c r="BJ2">
        <f>'2 Resident Population'!BJ5</f>
        <v>2.8562500000000002</v>
      </c>
      <c r="BK2">
        <f>'2 Resident Population'!BK5</f>
        <v>4.4374999999999991</v>
      </c>
      <c r="BL2">
        <f>'2 Resident Population'!BL5</f>
        <v>4.4374999999999991</v>
      </c>
      <c r="BM2">
        <f>'2 Resident Population'!BM5</f>
        <v>4.4374999999999991</v>
      </c>
      <c r="BN2">
        <f>'2 Resident Population'!BN5</f>
        <v>4.4374999999999991</v>
      </c>
      <c r="BO2">
        <f>'2 Resident Population'!BO5</f>
        <v>4.4374999999999991</v>
      </c>
      <c r="BP2">
        <f>'2 Resident Population'!BP5</f>
        <v>7.1999999999999993</v>
      </c>
      <c r="BQ2">
        <f>'2 Resident Population'!BQ5</f>
        <v>7.1999999999999993</v>
      </c>
      <c r="BR2">
        <f>'2 Resident Population'!BR5</f>
        <v>7.1999999999999993</v>
      </c>
      <c r="BS2">
        <f>'2 Resident Population'!BS5</f>
        <v>7.1999999999999993</v>
      </c>
      <c r="BT2">
        <f>'2 Resident Population'!BT5</f>
        <v>7.1999999999999993</v>
      </c>
      <c r="BU2">
        <f>'2 Resident Population'!BU5</f>
        <v>12.150000000000002</v>
      </c>
      <c r="BV2">
        <f>'2 Resident Population'!BV5</f>
        <v>12.150000000000002</v>
      </c>
      <c r="BW2">
        <f>'2 Resident Population'!BW5</f>
        <v>12.150000000000002</v>
      </c>
      <c r="BX2">
        <f>'2 Resident Population'!BX5</f>
        <v>12.150000000000002</v>
      </c>
      <c r="BY2">
        <f>'2 Resident Population'!BY5</f>
        <v>12.150000000000002</v>
      </c>
      <c r="BZ2">
        <f>'2 Resident Population'!BZ5</f>
        <v>22.90625</v>
      </c>
      <c r="CA2">
        <f>'2 Resident Population'!CA5</f>
        <v>22.90625</v>
      </c>
      <c r="CB2">
        <f>'2 Resident Population'!CB5</f>
        <v>22.90625</v>
      </c>
      <c r="CC2">
        <f>'2 Resident Population'!CC5</f>
        <v>22.90625</v>
      </c>
      <c r="CD2">
        <f>'2 Resident Population'!CD5</f>
        <v>22.90625</v>
      </c>
      <c r="CE2">
        <f>'2 Resident Population'!CE5</f>
        <v>43.20624999999999</v>
      </c>
      <c r="CF2">
        <f>'2 Resident Population'!CF5</f>
        <v>43.20624999999999</v>
      </c>
      <c r="CG2">
        <f>'2 Resident Population'!CG5</f>
        <v>43.20624999999999</v>
      </c>
      <c r="CH2">
        <f>'2 Resident Population'!CH5</f>
        <v>43.20624999999999</v>
      </c>
      <c r="CI2">
        <f>'2 Resident Population'!CI5</f>
        <v>43.20624999999999</v>
      </c>
      <c r="CJ2">
        <f>'2 Resident Population'!CJ5</f>
        <v>78.549999999999983</v>
      </c>
      <c r="CK2">
        <f>'2 Resident Population'!CK5</f>
        <v>78.549999999999983</v>
      </c>
      <c r="CL2">
        <f>'2 Resident Population'!CL5</f>
        <v>78.549999999999983</v>
      </c>
      <c r="CM2">
        <f>'2 Resident Population'!CM5</f>
        <v>78.549999999999983</v>
      </c>
      <c r="CN2">
        <f>'2 Resident Population'!CN5</f>
        <v>78.549999999999983</v>
      </c>
      <c r="CO2">
        <f>'2 Resident Population'!CO5</f>
        <v>154.11875000000001</v>
      </c>
      <c r="CP2">
        <f>'2 Resident Population'!CP5</f>
        <v>154.11875000000001</v>
      </c>
      <c r="CQ2">
        <f>'2 Resident Population'!CQ5</f>
        <v>154.11875000000001</v>
      </c>
      <c r="CR2">
        <f>'2 Resident Population'!CR5</f>
        <v>154.11875000000001</v>
      </c>
      <c r="CS2">
        <f>'2 Resident Population'!CS5</f>
        <v>154.11875000000001</v>
      </c>
      <c r="CT2">
        <f>'2 Resident Population'!CT5</f>
        <v>154.11875000000001</v>
      </c>
      <c r="CU2">
        <f>'2 Resident Population'!CU5</f>
        <v>154.11875000000001</v>
      </c>
      <c r="CV2">
        <f>'2 Resident Population'!CV5</f>
        <v>154.11875000000001</v>
      </c>
      <c r="CW2">
        <f>'2 Resident Population'!CW5</f>
        <v>154.11875000000001</v>
      </c>
      <c r="CX2">
        <f>'2 Resident Population'!CX5</f>
        <v>154.11875000000001</v>
      </c>
      <c r="CY2">
        <f>'2 Resident Population'!CY5</f>
        <v>154.11875000000001</v>
      </c>
    </row>
    <row r="3" spans="1:103" x14ac:dyDescent="0.45">
      <c r="A3" t="str">
        <f>_xlfn.CONCAT('2 Resident Population'!B1,".",'2 Resident Population'!A8)</f>
        <v>Resident Population.fertility rate[age]</v>
      </c>
      <c r="B3">
        <f>'2 Resident Population'!B8</f>
        <v>0</v>
      </c>
      <c r="C3">
        <f>'2 Resident Population'!C8</f>
        <v>0</v>
      </c>
      <c r="D3">
        <f>'2 Resident Population'!D8</f>
        <v>0</v>
      </c>
      <c r="E3">
        <f>'2 Resident Population'!E8</f>
        <v>0</v>
      </c>
      <c r="F3">
        <f>'2 Resident Population'!F8</f>
        <v>0</v>
      </c>
      <c r="G3">
        <f>'2 Resident Population'!G8</f>
        <v>0</v>
      </c>
      <c r="H3">
        <f>'2 Resident Population'!H8</f>
        <v>0</v>
      </c>
      <c r="I3">
        <f>'2 Resident Population'!I8</f>
        <v>0</v>
      </c>
      <c r="J3">
        <f>'2 Resident Population'!J8</f>
        <v>0</v>
      </c>
      <c r="K3">
        <f>'2 Resident Population'!K8</f>
        <v>0</v>
      </c>
      <c r="L3">
        <f>'2 Resident Population'!L8</f>
        <v>0</v>
      </c>
      <c r="M3">
        <f>'2 Resident Population'!M8</f>
        <v>0</v>
      </c>
      <c r="N3">
        <f>'2 Resident Population'!N8</f>
        <v>0</v>
      </c>
      <c r="O3">
        <f>'2 Resident Population'!O8</f>
        <v>0</v>
      </c>
      <c r="P3">
        <f>'2 Resident Population'!P8</f>
        <v>0</v>
      </c>
      <c r="Q3">
        <f>'2 Resident Population'!Q8</f>
        <v>0</v>
      </c>
      <c r="R3">
        <f>'2 Resident Population'!R8</f>
        <v>2.8937500000000003</v>
      </c>
      <c r="S3">
        <f>'2 Resident Population'!S8</f>
        <v>2.8937500000000003</v>
      </c>
      <c r="T3">
        <f>'2 Resident Population'!T8</f>
        <v>2.8937500000000003</v>
      </c>
      <c r="U3">
        <f>'2 Resident Population'!U8</f>
        <v>2.8937500000000003</v>
      </c>
      <c r="V3">
        <f>'2 Resident Population'!V8</f>
        <v>2.8937500000000003</v>
      </c>
      <c r="W3">
        <f>'2 Resident Population'!W8</f>
        <v>15.606249999999998</v>
      </c>
      <c r="X3">
        <f>'2 Resident Population'!X8</f>
        <v>15.606249999999998</v>
      </c>
      <c r="Y3">
        <f>'2 Resident Population'!Y8</f>
        <v>15.606249999999998</v>
      </c>
      <c r="Z3">
        <f>'2 Resident Population'!Z8</f>
        <v>15.606249999999998</v>
      </c>
      <c r="AA3">
        <f>'2 Resident Population'!AA8</f>
        <v>15.606249999999998</v>
      </c>
      <c r="AB3">
        <f>'2 Resident Population'!AB8</f>
        <v>59.856250000000003</v>
      </c>
      <c r="AC3">
        <f>'2 Resident Population'!AC8</f>
        <v>59.856250000000003</v>
      </c>
      <c r="AD3">
        <f>'2 Resident Population'!AD8</f>
        <v>59.856250000000003</v>
      </c>
      <c r="AE3">
        <f>'2 Resident Population'!AE8</f>
        <v>59.856250000000003</v>
      </c>
      <c r="AF3">
        <f>'2 Resident Population'!AF8</f>
        <v>59.856250000000003</v>
      </c>
      <c r="AG3">
        <f>'2 Resident Population'!AG8</f>
        <v>89.743750000000006</v>
      </c>
      <c r="AH3">
        <f>'2 Resident Population'!AH8</f>
        <v>89.743750000000006</v>
      </c>
      <c r="AI3">
        <f>'2 Resident Population'!AI8</f>
        <v>89.743750000000006</v>
      </c>
      <c r="AJ3">
        <f>'2 Resident Population'!AJ8</f>
        <v>89.743750000000006</v>
      </c>
      <c r="AK3">
        <f>'2 Resident Population'!AK8</f>
        <v>89.743750000000006</v>
      </c>
      <c r="AL3">
        <f>'2 Resident Population'!AL8</f>
        <v>47.906249999999993</v>
      </c>
      <c r="AM3">
        <f>'2 Resident Population'!AM8</f>
        <v>47.906249999999993</v>
      </c>
      <c r="AN3">
        <f>'2 Resident Population'!AN8</f>
        <v>47.906249999999993</v>
      </c>
      <c r="AO3">
        <f>'2 Resident Population'!AO8</f>
        <v>47.906249999999993</v>
      </c>
      <c r="AP3">
        <f>'2 Resident Population'!AP8</f>
        <v>47.906249999999993</v>
      </c>
      <c r="AQ3">
        <f>'2 Resident Population'!AQ8</f>
        <v>8.8624999999999989</v>
      </c>
      <c r="AR3">
        <f>'2 Resident Population'!AR8</f>
        <v>8.8624999999999989</v>
      </c>
      <c r="AS3">
        <f>'2 Resident Population'!AS8</f>
        <v>8.8624999999999989</v>
      </c>
      <c r="AT3">
        <f>'2 Resident Population'!AT8</f>
        <v>8.8624999999999989</v>
      </c>
      <c r="AU3">
        <f>'2 Resident Population'!AU8</f>
        <v>8.8624999999999989</v>
      </c>
      <c r="AV3">
        <f>'2 Resident Population'!AV8</f>
        <v>0.41249999999999998</v>
      </c>
      <c r="AW3">
        <f>'2 Resident Population'!AW8</f>
        <v>0.41249999999999998</v>
      </c>
      <c r="AX3">
        <f>'2 Resident Population'!AX8</f>
        <v>0.41249999999999998</v>
      </c>
      <c r="AY3">
        <f>'2 Resident Population'!AY8</f>
        <v>0.41249999999999998</v>
      </c>
      <c r="AZ3">
        <f>'2 Resident Population'!AZ8</f>
        <v>0.41249999999999998</v>
      </c>
      <c r="BA3">
        <f>'2 Resident Population'!BA8</f>
        <v>0</v>
      </c>
      <c r="BB3">
        <f>'2 Resident Population'!BB8</f>
        <v>0</v>
      </c>
      <c r="BC3">
        <f>'2 Resident Population'!BC8</f>
        <v>0</v>
      </c>
      <c r="BD3">
        <f>'2 Resident Population'!BD8</f>
        <v>0</v>
      </c>
      <c r="BE3">
        <f>'2 Resident Population'!BE8</f>
        <v>0</v>
      </c>
      <c r="BF3">
        <f>'2 Resident Population'!BF8</f>
        <v>0</v>
      </c>
      <c r="BG3">
        <f>'2 Resident Population'!BG8</f>
        <v>0</v>
      </c>
      <c r="BH3">
        <f>'2 Resident Population'!BH8</f>
        <v>0</v>
      </c>
      <c r="BI3">
        <f>'2 Resident Population'!BI8</f>
        <v>0</v>
      </c>
      <c r="BJ3">
        <f>'2 Resident Population'!BJ8</f>
        <v>0</v>
      </c>
      <c r="BK3">
        <f>'2 Resident Population'!BK8</f>
        <v>0</v>
      </c>
      <c r="BL3">
        <f>'2 Resident Population'!BL8</f>
        <v>0</v>
      </c>
      <c r="BM3">
        <f>'2 Resident Population'!BM8</f>
        <v>0</v>
      </c>
      <c r="BN3">
        <f>'2 Resident Population'!BN8</f>
        <v>0</v>
      </c>
      <c r="BO3">
        <f>'2 Resident Population'!BO8</f>
        <v>0</v>
      </c>
      <c r="BP3">
        <f>'2 Resident Population'!BP8</f>
        <v>0</v>
      </c>
      <c r="BQ3">
        <f>'2 Resident Population'!BQ8</f>
        <v>0</v>
      </c>
      <c r="BR3">
        <f>'2 Resident Population'!BR8</f>
        <v>0</v>
      </c>
      <c r="BS3">
        <f>'2 Resident Population'!BS8</f>
        <v>0</v>
      </c>
      <c r="BT3">
        <f>'2 Resident Population'!BT8</f>
        <v>0</v>
      </c>
      <c r="BU3">
        <f>'2 Resident Population'!BU8</f>
        <v>0</v>
      </c>
      <c r="BV3">
        <f>'2 Resident Population'!BV8</f>
        <v>0</v>
      </c>
      <c r="BW3">
        <f>'2 Resident Population'!BW8</f>
        <v>0</v>
      </c>
      <c r="BX3">
        <f>'2 Resident Population'!BX8</f>
        <v>0</v>
      </c>
      <c r="BY3">
        <f>'2 Resident Population'!BY8</f>
        <v>0</v>
      </c>
      <c r="BZ3">
        <f>'2 Resident Population'!BZ8</f>
        <v>0</v>
      </c>
      <c r="CA3">
        <f>'2 Resident Population'!CA8</f>
        <v>0</v>
      </c>
      <c r="CB3">
        <f>'2 Resident Population'!CB8</f>
        <v>0</v>
      </c>
      <c r="CC3">
        <f>'2 Resident Population'!CC8</f>
        <v>0</v>
      </c>
      <c r="CD3">
        <f>'2 Resident Population'!CD8</f>
        <v>0</v>
      </c>
      <c r="CE3">
        <f>'2 Resident Population'!CE8</f>
        <v>0</v>
      </c>
      <c r="CF3">
        <f>'2 Resident Population'!CF8</f>
        <v>0</v>
      </c>
      <c r="CG3">
        <f>'2 Resident Population'!CG8</f>
        <v>0</v>
      </c>
      <c r="CH3">
        <f>'2 Resident Population'!CH8</f>
        <v>0</v>
      </c>
      <c r="CI3">
        <f>'2 Resident Population'!CI8</f>
        <v>0</v>
      </c>
      <c r="CJ3">
        <f>'2 Resident Population'!CJ8</f>
        <v>0</v>
      </c>
      <c r="CK3">
        <f>'2 Resident Population'!CK8</f>
        <v>0</v>
      </c>
      <c r="CL3">
        <f>'2 Resident Population'!CL8</f>
        <v>0</v>
      </c>
      <c r="CM3">
        <f>'2 Resident Population'!CM8</f>
        <v>0</v>
      </c>
      <c r="CN3">
        <f>'2 Resident Population'!CN8</f>
        <v>0</v>
      </c>
      <c r="CO3">
        <f>'2 Resident Population'!CO8</f>
        <v>0</v>
      </c>
      <c r="CP3">
        <f>'2 Resident Population'!CP8</f>
        <v>0</v>
      </c>
      <c r="CQ3">
        <f>'2 Resident Population'!CQ8</f>
        <v>0</v>
      </c>
      <c r="CR3">
        <f>'2 Resident Population'!CR8</f>
        <v>0</v>
      </c>
      <c r="CS3">
        <f>'2 Resident Population'!CS8</f>
        <v>0</v>
      </c>
      <c r="CT3">
        <f>'2 Resident Population'!CT8</f>
        <v>0</v>
      </c>
      <c r="CU3">
        <f>'2 Resident Population'!CU8</f>
        <v>0</v>
      </c>
      <c r="CV3">
        <f>'2 Resident Population'!CV8</f>
        <v>0</v>
      </c>
      <c r="CW3">
        <f>'2 Resident Population'!CW8</f>
        <v>0</v>
      </c>
      <c r="CX3">
        <f>'2 Resident Population'!CX8</f>
        <v>0</v>
      </c>
      <c r="CY3">
        <f>'2 Resident Population'!CY8</f>
        <v>0</v>
      </c>
    </row>
    <row r="4" spans="1:103" x14ac:dyDescent="0.45">
      <c r="A4" t="str">
        <f>_xlfn.CONCAT('2 Resident Population'!B1,".",'2 Resident Population'!A11)</f>
        <v>Resident Population.gender proportion of babies[gender]</v>
      </c>
      <c r="B4">
        <f>'2 Resident Population'!B11</f>
        <v>0.48</v>
      </c>
      <c r="C4">
        <f>'2 Resident Population'!C11</f>
        <v>0.52</v>
      </c>
    </row>
    <row r="5" spans="1:103" x14ac:dyDescent="0.45">
      <c r="A5" t="str">
        <f>_xlfn.CONCAT('2 Resident Population'!B1,".",'2 Resident Population'!A14)</f>
        <v>Resident Population.resident population[Chinese, male, age]</v>
      </c>
      <c r="B5">
        <f>'2 Resident Population'!B14</f>
        <v>0</v>
      </c>
      <c r="C5">
        <f>'2 Resident Population'!C14</f>
        <v>11690</v>
      </c>
      <c r="D5">
        <f>'2 Resident Population'!D14</f>
        <v>13107</v>
      </c>
      <c r="E5">
        <f>'2 Resident Population'!E14</f>
        <v>13950</v>
      </c>
      <c r="F5">
        <f>'2 Resident Population'!F14</f>
        <v>13455</v>
      </c>
      <c r="G5">
        <f>'2 Resident Population'!G14</f>
        <v>13487</v>
      </c>
      <c r="H5">
        <f>'2 Resident Population'!H14</f>
        <v>13571</v>
      </c>
      <c r="I5">
        <f>'2 Resident Population'!I14</f>
        <v>13356</v>
      </c>
      <c r="J5">
        <f>'2 Resident Population'!J14</f>
        <v>14338</v>
      </c>
      <c r="K5">
        <f>'2 Resident Population'!K14</f>
        <v>14505</v>
      </c>
      <c r="L5">
        <f>'2 Resident Population'!L14</f>
        <v>17005</v>
      </c>
      <c r="M5">
        <f>'2 Resident Population'!M14</f>
        <v>16697</v>
      </c>
      <c r="N5">
        <f>'2 Resident Population'!N14</f>
        <v>15834</v>
      </c>
      <c r="O5">
        <f>'2 Resident Population'!O14</f>
        <v>17430</v>
      </c>
      <c r="P5">
        <f>'2 Resident Population'!P14</f>
        <v>18070</v>
      </c>
      <c r="Q5">
        <f>'2 Resident Population'!Q14</f>
        <v>18586</v>
      </c>
      <c r="R5">
        <f>'2 Resident Population'!R14</f>
        <v>18931</v>
      </c>
      <c r="S5">
        <f>'2 Resident Population'!S14</f>
        <v>19051</v>
      </c>
      <c r="T5">
        <f>'2 Resident Population'!T14</f>
        <v>19018</v>
      </c>
      <c r="U5">
        <f>'2 Resident Population'!U14</f>
        <v>18352</v>
      </c>
      <c r="V5">
        <f>'2 Resident Population'!V14</f>
        <v>19485</v>
      </c>
      <c r="W5">
        <f>'2 Resident Population'!W14</f>
        <v>18320</v>
      </c>
      <c r="X5">
        <f>'2 Resident Population'!X14</f>
        <v>20385</v>
      </c>
      <c r="Y5">
        <f>'2 Resident Population'!Y14</f>
        <v>18161</v>
      </c>
      <c r="Z5">
        <f>'2 Resident Population'!Z14</f>
        <v>15176</v>
      </c>
      <c r="AA5">
        <f>'2 Resident Population'!AA14</f>
        <v>16447</v>
      </c>
      <c r="AB5">
        <f>'2 Resident Population'!AB14</f>
        <v>17921</v>
      </c>
      <c r="AC5">
        <f>'2 Resident Population'!AC14</f>
        <v>17645</v>
      </c>
      <c r="AD5">
        <f>'2 Resident Population'!AD14</f>
        <v>19421</v>
      </c>
      <c r="AE5">
        <f>'2 Resident Population'!AE14</f>
        <v>20061</v>
      </c>
      <c r="AF5">
        <f>'2 Resident Population'!AF14</f>
        <v>19949</v>
      </c>
      <c r="AG5">
        <f>'2 Resident Population'!AG14</f>
        <v>20134</v>
      </c>
      <c r="AH5">
        <f>'2 Resident Population'!AH14</f>
        <v>20515</v>
      </c>
      <c r="AI5">
        <f>'2 Resident Population'!AI14</f>
        <v>19805</v>
      </c>
      <c r="AJ5">
        <f>'2 Resident Population'!AJ14</f>
        <v>21675</v>
      </c>
      <c r="AK5">
        <f>'2 Resident Population'!AK14</f>
        <v>20834</v>
      </c>
      <c r="AL5">
        <f>'2 Resident Population'!AL14</f>
        <v>20944</v>
      </c>
      <c r="AM5">
        <f>'2 Resident Population'!AM14</f>
        <v>22355</v>
      </c>
      <c r="AN5">
        <f>'2 Resident Population'!AN14</f>
        <v>23515</v>
      </c>
      <c r="AO5">
        <f>'2 Resident Population'!AO14</f>
        <v>22760</v>
      </c>
      <c r="AP5">
        <f>'2 Resident Population'!AP14</f>
        <v>22362</v>
      </c>
      <c r="AQ5">
        <f>'2 Resident Population'!AQ14</f>
        <v>21187</v>
      </c>
      <c r="AR5">
        <f>'2 Resident Population'!AR14</f>
        <v>20958</v>
      </c>
      <c r="AS5">
        <f>'2 Resident Population'!AS14</f>
        <v>22171</v>
      </c>
      <c r="AT5">
        <f>'2 Resident Population'!AT14</f>
        <v>22038</v>
      </c>
      <c r="AU5">
        <f>'2 Resident Population'!AU14</f>
        <v>23786</v>
      </c>
      <c r="AV5">
        <f>'2 Resident Population'!AV14</f>
        <v>23840</v>
      </c>
      <c r="AW5">
        <f>'2 Resident Population'!AW14</f>
        <v>24638</v>
      </c>
      <c r="AX5">
        <f>'2 Resident Population'!AX14</f>
        <v>24439</v>
      </c>
      <c r="AY5">
        <f>'2 Resident Population'!AY14</f>
        <v>23844</v>
      </c>
      <c r="AZ5">
        <f>'2 Resident Population'!AZ14</f>
        <v>24238</v>
      </c>
      <c r="BA5">
        <f>'2 Resident Population'!BA14</f>
        <v>24103</v>
      </c>
      <c r="BB5">
        <f>'2 Resident Population'!BB14</f>
        <v>24187</v>
      </c>
      <c r="BC5">
        <f>'2 Resident Population'!BC14</f>
        <v>23577</v>
      </c>
      <c r="BD5">
        <f>'2 Resident Population'!BD14</f>
        <v>23634</v>
      </c>
      <c r="BE5">
        <f>'2 Resident Population'!BE14</f>
        <v>22634</v>
      </c>
      <c r="BF5">
        <f>'2 Resident Population'!BF14</f>
        <v>21785</v>
      </c>
      <c r="BG5">
        <f>'2 Resident Population'!BG14</f>
        <v>21675</v>
      </c>
      <c r="BH5">
        <f>'2 Resident Population'!BH14</f>
        <v>20195</v>
      </c>
      <c r="BI5">
        <f>'2 Resident Population'!BI14</f>
        <v>19017</v>
      </c>
      <c r="BJ5">
        <f>'2 Resident Population'!BJ14</f>
        <v>18028</v>
      </c>
      <c r="BK5">
        <f>'2 Resident Population'!BK14</f>
        <v>17950</v>
      </c>
      <c r="BL5">
        <f>'2 Resident Population'!BL14</f>
        <v>17426</v>
      </c>
      <c r="BM5">
        <f>'2 Resident Population'!BM14</f>
        <v>16157</v>
      </c>
      <c r="BN5">
        <f>'2 Resident Population'!BN14</f>
        <v>15756</v>
      </c>
      <c r="BO5">
        <f>'2 Resident Population'!BO14</f>
        <v>10845</v>
      </c>
      <c r="BP5">
        <f>'2 Resident Population'!BP14</f>
        <v>8246</v>
      </c>
      <c r="BQ5">
        <f>'2 Resident Population'!BQ14</f>
        <v>10067</v>
      </c>
      <c r="BR5">
        <f>'2 Resident Population'!BR14</f>
        <v>8737</v>
      </c>
      <c r="BS5">
        <f>'2 Resident Population'!BS14</f>
        <v>8412</v>
      </c>
      <c r="BT5">
        <f>'2 Resident Population'!BT14</f>
        <v>9557</v>
      </c>
      <c r="BU5">
        <f>'2 Resident Population'!BU14</f>
        <v>9180</v>
      </c>
      <c r="BV5">
        <f>'2 Resident Population'!BV14</f>
        <v>8616</v>
      </c>
      <c r="BW5">
        <f>'2 Resident Population'!BW14</f>
        <v>6932</v>
      </c>
      <c r="BX5">
        <f>'2 Resident Population'!BX14</f>
        <v>5621</v>
      </c>
      <c r="BY5">
        <f>'2 Resident Population'!BY14</f>
        <v>5579</v>
      </c>
      <c r="BZ5">
        <f>'2 Resident Population'!BZ14</f>
        <v>5823</v>
      </c>
      <c r="CA5">
        <f>'2 Resident Population'!CA14</f>
        <v>4989</v>
      </c>
      <c r="CB5">
        <f>'2 Resident Population'!CB14</f>
        <v>4479</v>
      </c>
      <c r="CC5">
        <f>'2 Resident Population'!CC14</f>
        <v>4093</v>
      </c>
      <c r="CD5">
        <f>'2 Resident Population'!CD14</f>
        <v>3593</v>
      </c>
      <c r="CE5">
        <f>'2 Resident Population'!CE14</f>
        <v>3222</v>
      </c>
      <c r="CF5">
        <f>'2 Resident Population'!CF14</f>
        <v>2843</v>
      </c>
      <c r="CG5">
        <f>'2 Resident Population'!CG14</f>
        <v>2371</v>
      </c>
      <c r="CH5">
        <f>'2 Resident Population'!CH14</f>
        <v>2108</v>
      </c>
      <c r="CI5">
        <f>'2 Resident Population'!CI14</f>
        <v>1639</v>
      </c>
      <c r="CJ5">
        <f>'2 Resident Population'!CJ14</f>
        <v>1394</v>
      </c>
      <c r="CK5">
        <f>'2 Resident Population'!CK14</f>
        <v>1157</v>
      </c>
      <c r="CL5">
        <f>'2 Resident Population'!CL14</f>
        <v>989</v>
      </c>
      <c r="CM5">
        <f>'2 Resident Population'!CM14</f>
        <v>801</v>
      </c>
      <c r="CN5">
        <f>'2 Resident Population'!CN14</f>
        <v>693</v>
      </c>
      <c r="CO5">
        <f>'2 Resident Population'!CO14</f>
        <v>542</v>
      </c>
      <c r="CP5">
        <f>'2 Resident Population'!CP14</f>
        <v>432</v>
      </c>
      <c r="CQ5">
        <f>'2 Resident Population'!CQ14</f>
        <v>357</v>
      </c>
      <c r="CR5">
        <f>'2 Resident Population'!CR14</f>
        <v>276</v>
      </c>
      <c r="CS5">
        <f>'2 Resident Population'!CS14</f>
        <v>193</v>
      </c>
      <c r="CT5">
        <f>'2 Resident Population'!CT14</f>
        <v>174</v>
      </c>
      <c r="CU5">
        <f>'2 Resident Population'!CU14</f>
        <v>120</v>
      </c>
      <c r="CV5">
        <f>'2 Resident Population'!CV14</f>
        <v>88</v>
      </c>
      <c r="CW5">
        <f>'2 Resident Population'!CW14</f>
        <v>79</v>
      </c>
      <c r="CX5">
        <f>'2 Resident Population'!CX14</f>
        <v>67</v>
      </c>
      <c r="CY5">
        <f>'2 Resident Population'!CY14</f>
        <v>203</v>
      </c>
    </row>
    <row r="6" spans="1:103" x14ac:dyDescent="0.45">
      <c r="A6" t="str">
        <f>_xlfn.CONCAT('2 Resident Population'!B1,".",'2 Resident Population'!A15)</f>
        <v>Resident Population.resident population[Chinese, female, age]</v>
      </c>
      <c r="B6">
        <f>'2 Resident Population'!B15</f>
        <v>0</v>
      </c>
      <c r="C6">
        <f>'2 Resident Population'!C15</f>
        <v>11185</v>
      </c>
      <c r="D6">
        <f>'2 Resident Population'!D15</f>
        <v>12384</v>
      </c>
      <c r="E6">
        <f>'2 Resident Population'!E15</f>
        <v>13323</v>
      </c>
      <c r="F6">
        <f>'2 Resident Population'!F15</f>
        <v>12864</v>
      </c>
      <c r="G6">
        <f>'2 Resident Population'!G15</f>
        <v>12868</v>
      </c>
      <c r="H6">
        <f>'2 Resident Population'!H15</f>
        <v>13017</v>
      </c>
      <c r="I6">
        <f>'2 Resident Population'!I15</f>
        <v>12598</v>
      </c>
      <c r="J6">
        <f>'2 Resident Population'!J15</f>
        <v>13749</v>
      </c>
      <c r="K6">
        <f>'2 Resident Population'!K15</f>
        <v>13769</v>
      </c>
      <c r="L6">
        <f>'2 Resident Population'!L15</f>
        <v>15956</v>
      </c>
      <c r="M6">
        <f>'2 Resident Population'!M15</f>
        <v>15514</v>
      </c>
      <c r="N6">
        <f>'2 Resident Population'!N15</f>
        <v>14790</v>
      </c>
      <c r="O6">
        <f>'2 Resident Population'!O15</f>
        <v>16486</v>
      </c>
      <c r="P6">
        <f>'2 Resident Population'!P15</f>
        <v>16984</v>
      </c>
      <c r="Q6">
        <f>'2 Resident Population'!Q15</f>
        <v>17635</v>
      </c>
      <c r="R6">
        <f>'2 Resident Population'!R15</f>
        <v>17837</v>
      </c>
      <c r="S6">
        <f>'2 Resident Population'!S15</f>
        <v>18448</v>
      </c>
      <c r="T6">
        <f>'2 Resident Population'!T15</f>
        <v>17940</v>
      </c>
      <c r="U6">
        <f>'2 Resident Population'!U15</f>
        <v>18052</v>
      </c>
      <c r="V6">
        <f>'2 Resident Population'!V15</f>
        <v>19025</v>
      </c>
      <c r="W6">
        <f>'2 Resident Population'!W15</f>
        <v>17704</v>
      </c>
      <c r="X6">
        <f>'2 Resident Population'!X15</f>
        <v>20184</v>
      </c>
      <c r="Y6">
        <f>'2 Resident Population'!Y15</f>
        <v>17837</v>
      </c>
      <c r="Z6">
        <f>'2 Resident Population'!Z15</f>
        <v>15012</v>
      </c>
      <c r="AA6">
        <f>'2 Resident Population'!AA15</f>
        <v>16495</v>
      </c>
      <c r="AB6">
        <f>'2 Resident Population'!AB15</f>
        <v>18214</v>
      </c>
      <c r="AC6">
        <f>'2 Resident Population'!AC15</f>
        <v>18512</v>
      </c>
      <c r="AD6">
        <f>'2 Resident Population'!AD15</f>
        <v>20599</v>
      </c>
      <c r="AE6">
        <f>'2 Resident Population'!AE15</f>
        <v>21441</v>
      </c>
      <c r="AF6">
        <f>'2 Resident Population'!AF15</f>
        <v>21808</v>
      </c>
      <c r="AG6">
        <f>'2 Resident Population'!AG15</f>
        <v>21914</v>
      </c>
      <c r="AH6">
        <f>'2 Resident Population'!AH15</f>
        <v>22664</v>
      </c>
      <c r="AI6">
        <f>'2 Resident Population'!AI15</f>
        <v>22086</v>
      </c>
      <c r="AJ6">
        <f>'2 Resident Population'!AJ15</f>
        <v>24153</v>
      </c>
      <c r="AK6">
        <f>'2 Resident Population'!AK15</f>
        <v>22899</v>
      </c>
      <c r="AL6">
        <f>'2 Resident Population'!AL15</f>
        <v>23075</v>
      </c>
      <c r="AM6">
        <f>'2 Resident Population'!AM15</f>
        <v>24651</v>
      </c>
      <c r="AN6">
        <f>'2 Resident Population'!AN15</f>
        <v>25686</v>
      </c>
      <c r="AO6">
        <f>'2 Resident Population'!AO15</f>
        <v>24861</v>
      </c>
      <c r="AP6">
        <f>'2 Resident Population'!AP15</f>
        <v>24551</v>
      </c>
      <c r="AQ6">
        <f>'2 Resident Population'!AQ15</f>
        <v>23386</v>
      </c>
      <c r="AR6">
        <f>'2 Resident Population'!AR15</f>
        <v>23104</v>
      </c>
      <c r="AS6">
        <f>'2 Resident Population'!AS15</f>
        <v>23577</v>
      </c>
      <c r="AT6">
        <f>'2 Resident Population'!AT15</f>
        <v>22871</v>
      </c>
      <c r="AU6">
        <f>'2 Resident Population'!AU15</f>
        <v>24255</v>
      </c>
      <c r="AV6">
        <f>'2 Resident Population'!AV15</f>
        <v>23859</v>
      </c>
      <c r="AW6">
        <f>'2 Resident Population'!AW15</f>
        <v>24781</v>
      </c>
      <c r="AX6">
        <f>'2 Resident Population'!AX15</f>
        <v>24285</v>
      </c>
      <c r="AY6">
        <f>'2 Resident Population'!AY15</f>
        <v>23825</v>
      </c>
      <c r="AZ6">
        <f>'2 Resident Population'!AZ15</f>
        <v>23812</v>
      </c>
      <c r="BA6">
        <f>'2 Resident Population'!BA15</f>
        <v>23940</v>
      </c>
      <c r="BB6">
        <f>'2 Resident Population'!BB15</f>
        <v>23963</v>
      </c>
      <c r="BC6">
        <f>'2 Resident Population'!BC15</f>
        <v>23559</v>
      </c>
      <c r="BD6">
        <f>'2 Resident Population'!BD15</f>
        <v>23628</v>
      </c>
      <c r="BE6">
        <f>'2 Resident Population'!BE15</f>
        <v>22693</v>
      </c>
      <c r="BF6">
        <f>'2 Resident Population'!BF15</f>
        <v>21867</v>
      </c>
      <c r="BG6">
        <f>'2 Resident Population'!BG15</f>
        <v>21018</v>
      </c>
      <c r="BH6">
        <f>'2 Resident Population'!BH15</f>
        <v>19889</v>
      </c>
      <c r="BI6">
        <f>'2 Resident Population'!BI15</f>
        <v>19097</v>
      </c>
      <c r="BJ6">
        <f>'2 Resident Population'!BJ15</f>
        <v>18006</v>
      </c>
      <c r="BK6">
        <f>'2 Resident Population'!BK15</f>
        <v>18164</v>
      </c>
      <c r="BL6">
        <f>'2 Resident Population'!BL15</f>
        <v>17480</v>
      </c>
      <c r="BM6">
        <f>'2 Resident Population'!BM15</f>
        <v>16789</v>
      </c>
      <c r="BN6">
        <f>'2 Resident Population'!BN15</f>
        <v>16480</v>
      </c>
      <c r="BO6">
        <f>'2 Resident Population'!BO15</f>
        <v>11286</v>
      </c>
      <c r="BP6">
        <f>'2 Resident Population'!BP15</f>
        <v>8727</v>
      </c>
      <c r="BQ6">
        <f>'2 Resident Population'!BQ15</f>
        <v>10866</v>
      </c>
      <c r="BR6">
        <f>'2 Resident Population'!BR15</f>
        <v>9102</v>
      </c>
      <c r="BS6">
        <f>'2 Resident Population'!BS15</f>
        <v>9420</v>
      </c>
      <c r="BT6">
        <f>'2 Resident Population'!BT15</f>
        <v>10901</v>
      </c>
      <c r="BU6">
        <f>'2 Resident Population'!BU15</f>
        <v>10600</v>
      </c>
      <c r="BV6">
        <f>'2 Resident Population'!BV15</f>
        <v>10107</v>
      </c>
      <c r="BW6">
        <f>'2 Resident Population'!BW15</f>
        <v>7923</v>
      </c>
      <c r="BX6">
        <f>'2 Resident Population'!BX15</f>
        <v>6421</v>
      </c>
      <c r="BY6">
        <f>'2 Resident Population'!BY15</f>
        <v>6368</v>
      </c>
      <c r="BZ6">
        <f>'2 Resident Population'!BZ15</f>
        <v>7385</v>
      </c>
      <c r="CA6">
        <f>'2 Resident Population'!CA15</f>
        <v>6493</v>
      </c>
      <c r="CB6">
        <f>'2 Resident Population'!CB15</f>
        <v>5913</v>
      </c>
      <c r="CC6">
        <f>'2 Resident Population'!CC15</f>
        <v>5605</v>
      </c>
      <c r="CD6">
        <f>'2 Resident Population'!CD15</f>
        <v>5138</v>
      </c>
      <c r="CE6">
        <f>'2 Resident Population'!CE15</f>
        <v>4929</v>
      </c>
      <c r="CF6">
        <f>'2 Resident Population'!CF15</f>
        <v>4737</v>
      </c>
      <c r="CG6">
        <f>'2 Resident Population'!CG15</f>
        <v>4232</v>
      </c>
      <c r="CH6">
        <f>'2 Resident Population'!CH15</f>
        <v>3762</v>
      </c>
      <c r="CI6">
        <f>'2 Resident Population'!CI15</f>
        <v>3205</v>
      </c>
      <c r="CJ6">
        <f>'2 Resident Population'!CJ15</f>
        <v>2595</v>
      </c>
      <c r="CK6">
        <f>'2 Resident Population'!CK15</f>
        <v>2384</v>
      </c>
      <c r="CL6">
        <f>'2 Resident Population'!CL15</f>
        <v>2188</v>
      </c>
      <c r="CM6">
        <f>'2 Resident Population'!CM15</f>
        <v>1861</v>
      </c>
      <c r="CN6">
        <f>'2 Resident Population'!CN15</f>
        <v>1610</v>
      </c>
      <c r="CO6">
        <f>'2 Resident Population'!CO15</f>
        <v>1405</v>
      </c>
      <c r="CP6">
        <f>'2 Resident Population'!CP15</f>
        <v>1142</v>
      </c>
      <c r="CQ6">
        <f>'2 Resident Population'!CQ15</f>
        <v>985</v>
      </c>
      <c r="CR6">
        <f>'2 Resident Population'!CR15</f>
        <v>791</v>
      </c>
      <c r="CS6">
        <f>'2 Resident Population'!CS15</f>
        <v>631</v>
      </c>
      <c r="CT6">
        <f>'2 Resident Population'!CT15</f>
        <v>503</v>
      </c>
      <c r="CU6">
        <f>'2 Resident Population'!CU15</f>
        <v>392</v>
      </c>
      <c r="CV6">
        <f>'2 Resident Population'!CV15</f>
        <v>343</v>
      </c>
      <c r="CW6">
        <f>'2 Resident Population'!CW15</f>
        <v>235</v>
      </c>
      <c r="CX6">
        <f>'2 Resident Population'!CX15</f>
        <v>168</v>
      </c>
      <c r="CY6">
        <f>'2 Resident Population'!CY15</f>
        <v>446</v>
      </c>
    </row>
    <row r="7" spans="1:103" x14ac:dyDescent="0.45">
      <c r="A7" t="str">
        <f>_xlfn.CONCAT('2 Resident Population'!B1,".",'2 Resident Population'!A16)</f>
        <v>Resident Population.resident population[Malay, male, age]</v>
      </c>
      <c r="B7">
        <f>'2 Resident Population'!B16</f>
        <v>0</v>
      </c>
      <c r="C7">
        <f>'2 Resident Population'!C16</f>
        <v>3016</v>
      </c>
      <c r="D7">
        <f>'2 Resident Population'!D16</f>
        <v>3261</v>
      </c>
      <c r="E7">
        <f>'2 Resident Population'!E16</f>
        <v>3308</v>
      </c>
      <c r="F7">
        <f>'2 Resident Population'!F16</f>
        <v>3458</v>
      </c>
      <c r="G7">
        <f>'2 Resident Population'!G16</f>
        <v>3453</v>
      </c>
      <c r="H7">
        <f>'2 Resident Population'!H16</f>
        <v>3440</v>
      </c>
      <c r="I7">
        <f>'2 Resident Population'!I16</f>
        <v>3484</v>
      </c>
      <c r="J7">
        <f>'2 Resident Population'!J16</f>
        <v>3725</v>
      </c>
      <c r="K7">
        <f>'2 Resident Population'!K16</f>
        <v>4089</v>
      </c>
      <c r="L7">
        <f>'2 Resident Population'!L16</f>
        <v>4322</v>
      </c>
      <c r="M7">
        <f>'2 Resident Population'!M16</f>
        <v>4246</v>
      </c>
      <c r="N7">
        <f>'2 Resident Population'!N16</f>
        <v>4489</v>
      </c>
      <c r="O7">
        <f>'2 Resident Population'!O16</f>
        <v>4484</v>
      </c>
      <c r="P7">
        <f>'2 Resident Population'!P16</f>
        <v>4593</v>
      </c>
      <c r="Q7">
        <f>'2 Resident Population'!Q16</f>
        <v>4710</v>
      </c>
      <c r="R7">
        <f>'2 Resident Population'!R16</f>
        <v>4781</v>
      </c>
      <c r="S7">
        <f>'2 Resident Population'!S16</f>
        <v>5098</v>
      </c>
      <c r="T7">
        <f>'2 Resident Population'!T16</f>
        <v>5044</v>
      </c>
      <c r="U7">
        <f>'2 Resident Population'!U16</f>
        <v>4937</v>
      </c>
      <c r="V7">
        <f>'2 Resident Population'!V16</f>
        <v>5210</v>
      </c>
      <c r="W7">
        <f>'2 Resident Population'!W16</f>
        <v>5001</v>
      </c>
      <c r="X7">
        <f>'2 Resident Population'!X16</f>
        <v>4811</v>
      </c>
      <c r="Y7">
        <f>'2 Resident Population'!Y16</f>
        <v>4588</v>
      </c>
      <c r="Z7">
        <f>'2 Resident Population'!Z16</f>
        <v>4053</v>
      </c>
      <c r="AA7">
        <f>'2 Resident Population'!AA16</f>
        <v>4204</v>
      </c>
      <c r="AB7">
        <f>'2 Resident Population'!AB16</f>
        <v>4025</v>
      </c>
      <c r="AC7">
        <f>'2 Resident Population'!AC16</f>
        <v>3816</v>
      </c>
      <c r="AD7">
        <f>'2 Resident Population'!AD16</f>
        <v>3902</v>
      </c>
      <c r="AE7">
        <f>'2 Resident Population'!AE16</f>
        <v>3638</v>
      </c>
      <c r="AF7">
        <f>'2 Resident Population'!AF16</f>
        <v>3514</v>
      </c>
      <c r="AG7">
        <f>'2 Resident Population'!AG16</f>
        <v>3159</v>
      </c>
      <c r="AH7">
        <f>'2 Resident Population'!AH16</f>
        <v>2849</v>
      </c>
      <c r="AI7">
        <f>'2 Resident Population'!AI16</f>
        <v>2801</v>
      </c>
      <c r="AJ7">
        <f>'2 Resident Population'!AJ16</f>
        <v>2766</v>
      </c>
      <c r="AK7">
        <f>'2 Resident Population'!AK16</f>
        <v>2764</v>
      </c>
      <c r="AL7">
        <f>'2 Resident Population'!AL16</f>
        <v>3079</v>
      </c>
      <c r="AM7">
        <f>'2 Resident Population'!AM16</f>
        <v>3090</v>
      </c>
      <c r="AN7">
        <f>'2 Resident Population'!AN16</f>
        <v>3456</v>
      </c>
      <c r="AO7">
        <f>'2 Resident Population'!AO16</f>
        <v>3295</v>
      </c>
      <c r="AP7">
        <f>'2 Resident Population'!AP16</f>
        <v>3227</v>
      </c>
      <c r="AQ7">
        <f>'2 Resident Population'!AQ16</f>
        <v>3004</v>
      </c>
      <c r="AR7">
        <f>'2 Resident Population'!AR16</f>
        <v>3332</v>
      </c>
      <c r="AS7">
        <f>'2 Resident Population'!AS16</f>
        <v>3800</v>
      </c>
      <c r="AT7">
        <f>'2 Resident Population'!AT16</f>
        <v>4053</v>
      </c>
      <c r="AU7">
        <f>'2 Resident Population'!AU16</f>
        <v>4306</v>
      </c>
      <c r="AV7">
        <f>'2 Resident Population'!AV16</f>
        <v>4290</v>
      </c>
      <c r="AW7">
        <f>'2 Resident Population'!AW16</f>
        <v>4614</v>
      </c>
      <c r="AX7">
        <f>'2 Resident Population'!AX16</f>
        <v>4405</v>
      </c>
      <c r="AY7">
        <f>'2 Resident Population'!AY16</f>
        <v>4453</v>
      </c>
      <c r="AZ7">
        <f>'2 Resident Population'!AZ16</f>
        <v>4326</v>
      </c>
      <c r="BA7">
        <f>'2 Resident Population'!BA16</f>
        <v>4252</v>
      </c>
      <c r="BB7">
        <f>'2 Resident Population'!BB16</f>
        <v>4009</v>
      </c>
      <c r="BC7">
        <f>'2 Resident Population'!BC16</f>
        <v>3804</v>
      </c>
      <c r="BD7">
        <f>'2 Resident Population'!BD16</f>
        <v>3545</v>
      </c>
      <c r="BE7">
        <f>'2 Resident Population'!BE16</f>
        <v>3355</v>
      </c>
      <c r="BF7">
        <f>'2 Resident Population'!BF16</f>
        <v>3172</v>
      </c>
      <c r="BG7">
        <f>'2 Resident Population'!BG16</f>
        <v>3097</v>
      </c>
      <c r="BH7">
        <f>'2 Resident Population'!BH16</f>
        <v>2642</v>
      </c>
      <c r="BI7">
        <f>'2 Resident Population'!BI16</f>
        <v>2343</v>
      </c>
      <c r="BJ7">
        <f>'2 Resident Population'!BJ16</f>
        <v>2143</v>
      </c>
      <c r="BK7">
        <f>'2 Resident Population'!BK16</f>
        <v>2104</v>
      </c>
      <c r="BL7">
        <f>'2 Resident Population'!BL16</f>
        <v>1907</v>
      </c>
      <c r="BM7">
        <f>'2 Resident Population'!BM16</f>
        <v>1861</v>
      </c>
      <c r="BN7">
        <f>'2 Resident Population'!BN16</f>
        <v>1945</v>
      </c>
      <c r="BO7">
        <f>'2 Resident Population'!BO16</f>
        <v>1114</v>
      </c>
      <c r="BP7">
        <f>'2 Resident Population'!BP16</f>
        <v>845</v>
      </c>
      <c r="BQ7">
        <f>'2 Resident Population'!BQ16</f>
        <v>1059</v>
      </c>
      <c r="BR7">
        <f>'2 Resident Population'!BR16</f>
        <v>782</v>
      </c>
      <c r="BS7">
        <f>'2 Resident Population'!BS16</f>
        <v>734</v>
      </c>
      <c r="BT7">
        <f>'2 Resident Population'!BT16</f>
        <v>917</v>
      </c>
      <c r="BU7">
        <f>'2 Resident Population'!BU16</f>
        <v>932</v>
      </c>
      <c r="BV7">
        <f>'2 Resident Population'!BV16</f>
        <v>892</v>
      </c>
      <c r="BW7">
        <f>'2 Resident Population'!BW16</f>
        <v>773</v>
      </c>
      <c r="BX7">
        <f>'2 Resident Population'!BX16</f>
        <v>705</v>
      </c>
      <c r="BY7">
        <f>'2 Resident Population'!BY16</f>
        <v>681</v>
      </c>
      <c r="BZ7">
        <f>'2 Resident Population'!BZ16</f>
        <v>802</v>
      </c>
      <c r="CA7">
        <f>'2 Resident Population'!CA16</f>
        <v>634</v>
      </c>
      <c r="CB7">
        <f>'2 Resident Population'!CB16</f>
        <v>555</v>
      </c>
      <c r="CC7">
        <f>'2 Resident Population'!CC16</f>
        <v>434</v>
      </c>
      <c r="CD7">
        <f>'2 Resident Population'!CD16</f>
        <v>379</v>
      </c>
      <c r="CE7">
        <f>'2 Resident Population'!CE16</f>
        <v>407</v>
      </c>
      <c r="CF7">
        <f>'2 Resident Population'!CF16</f>
        <v>405</v>
      </c>
      <c r="CG7">
        <f>'2 Resident Population'!CG16</f>
        <v>347</v>
      </c>
      <c r="CH7">
        <f>'2 Resident Population'!CH16</f>
        <v>310</v>
      </c>
      <c r="CI7">
        <f>'2 Resident Population'!CI16</f>
        <v>237</v>
      </c>
      <c r="CJ7">
        <f>'2 Resident Population'!CJ16</f>
        <v>211</v>
      </c>
      <c r="CK7">
        <f>'2 Resident Population'!CK16</f>
        <v>158</v>
      </c>
      <c r="CL7">
        <f>'2 Resident Population'!CL16</f>
        <v>149</v>
      </c>
      <c r="CM7">
        <f>'2 Resident Population'!CM16</f>
        <v>136</v>
      </c>
      <c r="CN7">
        <f>'2 Resident Population'!CN16</f>
        <v>71</v>
      </c>
      <c r="CO7">
        <f>'2 Resident Population'!CO16</f>
        <v>71</v>
      </c>
      <c r="CP7">
        <f>'2 Resident Population'!CP16</f>
        <v>50</v>
      </c>
      <c r="CQ7">
        <f>'2 Resident Population'!CQ16</f>
        <v>50</v>
      </c>
      <c r="CR7">
        <f>'2 Resident Population'!CR16</f>
        <v>40</v>
      </c>
      <c r="CS7">
        <f>'2 Resident Population'!CS16</f>
        <v>14</v>
      </c>
      <c r="CT7">
        <f>'2 Resident Population'!CT16</f>
        <v>6</v>
      </c>
      <c r="CU7">
        <f>'2 Resident Population'!CU16</f>
        <v>7</v>
      </c>
      <c r="CV7">
        <f>'2 Resident Population'!CV16</f>
        <v>7</v>
      </c>
      <c r="CW7">
        <f>'2 Resident Population'!CW16</f>
        <v>8</v>
      </c>
      <c r="CX7">
        <f>'2 Resident Population'!CX16</f>
        <v>3</v>
      </c>
      <c r="CY7">
        <f>'2 Resident Population'!CY16</f>
        <v>12</v>
      </c>
    </row>
    <row r="8" spans="1:103" x14ac:dyDescent="0.45">
      <c r="A8" t="str">
        <f>_xlfn.CONCAT('2 Resident Population'!B1,".",'2 Resident Population'!A17)</f>
        <v>Resident Population.resident population[Malay, female, age]</v>
      </c>
      <c r="B8">
        <f>'2 Resident Population'!B17</f>
        <v>0</v>
      </c>
      <c r="C8">
        <f>'2 Resident Population'!C17</f>
        <v>2906</v>
      </c>
      <c r="D8">
        <f>'2 Resident Population'!D17</f>
        <v>3096</v>
      </c>
      <c r="E8">
        <f>'2 Resident Population'!E17</f>
        <v>3260</v>
      </c>
      <c r="F8">
        <f>'2 Resident Population'!F17</f>
        <v>3159</v>
      </c>
      <c r="G8">
        <f>'2 Resident Population'!G17</f>
        <v>3286</v>
      </c>
      <c r="H8">
        <f>'2 Resident Population'!H17</f>
        <v>3233</v>
      </c>
      <c r="I8">
        <f>'2 Resident Population'!I17</f>
        <v>3416</v>
      </c>
      <c r="J8">
        <f>'2 Resident Population'!J17</f>
        <v>3534</v>
      </c>
      <c r="K8">
        <f>'2 Resident Population'!K17</f>
        <v>3723</v>
      </c>
      <c r="L8">
        <f>'2 Resident Population'!L17</f>
        <v>3912</v>
      </c>
      <c r="M8">
        <f>'2 Resident Population'!M17</f>
        <v>4111</v>
      </c>
      <c r="N8">
        <f>'2 Resident Population'!N17</f>
        <v>3951</v>
      </c>
      <c r="O8">
        <f>'2 Resident Population'!O17</f>
        <v>4357</v>
      </c>
      <c r="P8">
        <f>'2 Resident Population'!P17</f>
        <v>4258</v>
      </c>
      <c r="Q8">
        <f>'2 Resident Population'!Q17</f>
        <v>4390</v>
      </c>
      <c r="R8">
        <f>'2 Resident Population'!R17</f>
        <v>4508</v>
      </c>
      <c r="S8">
        <f>'2 Resident Population'!S17</f>
        <v>4713</v>
      </c>
      <c r="T8">
        <f>'2 Resident Population'!T17</f>
        <v>4732</v>
      </c>
      <c r="U8">
        <f>'2 Resident Population'!U17</f>
        <v>4866</v>
      </c>
      <c r="V8">
        <f>'2 Resident Population'!V17</f>
        <v>4738</v>
      </c>
      <c r="W8">
        <f>'2 Resident Population'!W17</f>
        <v>4897</v>
      </c>
      <c r="X8">
        <f>'2 Resident Population'!X17</f>
        <v>4567</v>
      </c>
      <c r="Y8">
        <f>'2 Resident Population'!Y17</f>
        <v>4361</v>
      </c>
      <c r="Z8">
        <f>'2 Resident Population'!Z17</f>
        <v>4034</v>
      </c>
      <c r="AA8">
        <f>'2 Resident Population'!AA17</f>
        <v>3993</v>
      </c>
      <c r="AB8">
        <f>'2 Resident Population'!AB17</f>
        <v>4005</v>
      </c>
      <c r="AC8">
        <f>'2 Resident Population'!AC17</f>
        <v>3732</v>
      </c>
      <c r="AD8">
        <f>'2 Resident Population'!AD17</f>
        <v>3851</v>
      </c>
      <c r="AE8">
        <f>'2 Resident Population'!AE17</f>
        <v>3590</v>
      </c>
      <c r="AF8">
        <f>'2 Resident Population'!AF17</f>
        <v>3580</v>
      </c>
      <c r="AG8">
        <f>'2 Resident Population'!AG17</f>
        <v>3241</v>
      </c>
      <c r="AH8">
        <f>'2 Resident Population'!AH17</f>
        <v>3157</v>
      </c>
      <c r="AI8">
        <f>'2 Resident Population'!AI17</f>
        <v>3058</v>
      </c>
      <c r="AJ8">
        <f>'2 Resident Population'!AJ17</f>
        <v>2967</v>
      </c>
      <c r="AK8">
        <f>'2 Resident Population'!AK17</f>
        <v>3045</v>
      </c>
      <c r="AL8">
        <f>'2 Resident Population'!AL17</f>
        <v>3225</v>
      </c>
      <c r="AM8">
        <f>'2 Resident Population'!AM17</f>
        <v>3315</v>
      </c>
      <c r="AN8">
        <f>'2 Resident Population'!AN17</f>
        <v>3523</v>
      </c>
      <c r="AO8">
        <f>'2 Resident Population'!AO17</f>
        <v>3526</v>
      </c>
      <c r="AP8">
        <f>'2 Resident Population'!AP17</f>
        <v>3463</v>
      </c>
      <c r="AQ8">
        <f>'2 Resident Population'!AQ17</f>
        <v>3248</v>
      </c>
      <c r="AR8">
        <f>'2 Resident Population'!AR17</f>
        <v>3609</v>
      </c>
      <c r="AS8">
        <f>'2 Resident Population'!AS17</f>
        <v>3798</v>
      </c>
      <c r="AT8">
        <f>'2 Resident Population'!AT17</f>
        <v>4299</v>
      </c>
      <c r="AU8">
        <f>'2 Resident Population'!AU17</f>
        <v>4520</v>
      </c>
      <c r="AV8">
        <f>'2 Resident Population'!AV17</f>
        <v>4473</v>
      </c>
      <c r="AW8">
        <f>'2 Resident Population'!AW17</f>
        <v>4630</v>
      </c>
      <c r="AX8">
        <f>'2 Resident Population'!AX17</f>
        <v>4462</v>
      </c>
      <c r="AY8">
        <f>'2 Resident Population'!AY17</f>
        <v>4433</v>
      </c>
      <c r="AZ8">
        <f>'2 Resident Population'!AZ17</f>
        <v>4331</v>
      </c>
      <c r="BA8">
        <f>'2 Resident Population'!BA17</f>
        <v>4186</v>
      </c>
      <c r="BB8">
        <f>'2 Resident Population'!BB17</f>
        <v>3965</v>
      </c>
      <c r="BC8">
        <f>'2 Resident Population'!BC17</f>
        <v>3828</v>
      </c>
      <c r="BD8">
        <f>'2 Resident Population'!BD17</f>
        <v>3559</v>
      </c>
      <c r="BE8">
        <f>'2 Resident Population'!BE17</f>
        <v>3433</v>
      </c>
      <c r="BF8">
        <f>'2 Resident Population'!BF17</f>
        <v>3268</v>
      </c>
      <c r="BG8">
        <f>'2 Resident Population'!BG17</f>
        <v>3108</v>
      </c>
      <c r="BH8">
        <f>'2 Resident Population'!BH17</f>
        <v>2807</v>
      </c>
      <c r="BI8">
        <f>'2 Resident Population'!BI17</f>
        <v>2625</v>
      </c>
      <c r="BJ8">
        <f>'2 Resident Population'!BJ17</f>
        <v>2330</v>
      </c>
      <c r="BK8">
        <f>'2 Resident Population'!BK17</f>
        <v>2325</v>
      </c>
      <c r="BL8">
        <f>'2 Resident Population'!BL17</f>
        <v>2081</v>
      </c>
      <c r="BM8">
        <f>'2 Resident Population'!BM17</f>
        <v>2039</v>
      </c>
      <c r="BN8">
        <f>'2 Resident Population'!BN17</f>
        <v>2053</v>
      </c>
      <c r="BO8">
        <f>'2 Resident Population'!BO17</f>
        <v>1179</v>
      </c>
      <c r="BP8">
        <f>'2 Resident Population'!BP17</f>
        <v>991</v>
      </c>
      <c r="BQ8">
        <f>'2 Resident Population'!BQ17</f>
        <v>1244</v>
      </c>
      <c r="BR8">
        <f>'2 Resident Population'!BR17</f>
        <v>1009</v>
      </c>
      <c r="BS8">
        <f>'2 Resident Population'!BS17</f>
        <v>973</v>
      </c>
      <c r="BT8">
        <f>'2 Resident Population'!BT17</f>
        <v>1108</v>
      </c>
      <c r="BU8">
        <f>'2 Resident Population'!BU17</f>
        <v>1112</v>
      </c>
      <c r="BV8">
        <f>'2 Resident Population'!BV17</f>
        <v>1129</v>
      </c>
      <c r="BW8">
        <f>'2 Resident Population'!BW17</f>
        <v>922</v>
      </c>
      <c r="BX8">
        <f>'2 Resident Population'!BX17</f>
        <v>680</v>
      </c>
      <c r="BY8">
        <f>'2 Resident Population'!BY17</f>
        <v>888</v>
      </c>
      <c r="BZ8">
        <f>'2 Resident Population'!BZ17</f>
        <v>1117</v>
      </c>
      <c r="CA8">
        <f>'2 Resident Population'!CA17</f>
        <v>953</v>
      </c>
      <c r="CB8">
        <f>'2 Resident Population'!CB17</f>
        <v>740</v>
      </c>
      <c r="CC8">
        <f>'2 Resident Population'!CC17</f>
        <v>637</v>
      </c>
      <c r="CD8">
        <f>'2 Resident Population'!CD17</f>
        <v>501</v>
      </c>
      <c r="CE8">
        <f>'2 Resident Population'!CE17</f>
        <v>536</v>
      </c>
      <c r="CF8">
        <f>'2 Resident Population'!CF17</f>
        <v>472</v>
      </c>
      <c r="CG8">
        <f>'2 Resident Population'!CG17</f>
        <v>426</v>
      </c>
      <c r="CH8">
        <f>'2 Resident Population'!CH17</f>
        <v>376</v>
      </c>
      <c r="CI8">
        <f>'2 Resident Population'!CI17</f>
        <v>201</v>
      </c>
      <c r="CJ8">
        <f>'2 Resident Population'!CJ17</f>
        <v>230</v>
      </c>
      <c r="CK8">
        <f>'2 Resident Population'!CK17</f>
        <v>164</v>
      </c>
      <c r="CL8">
        <f>'2 Resident Population'!CL17</f>
        <v>179</v>
      </c>
      <c r="CM8">
        <f>'2 Resident Population'!CM17</f>
        <v>163</v>
      </c>
      <c r="CN8">
        <f>'2 Resident Population'!CN17</f>
        <v>76</v>
      </c>
      <c r="CO8">
        <f>'2 Resident Population'!CO17</f>
        <v>66</v>
      </c>
      <c r="CP8">
        <f>'2 Resident Population'!CP17</f>
        <v>54</v>
      </c>
      <c r="CQ8">
        <f>'2 Resident Population'!CQ17</f>
        <v>55</v>
      </c>
      <c r="CR8">
        <f>'2 Resident Population'!CR17</f>
        <v>40</v>
      </c>
      <c r="CS8">
        <f>'2 Resident Population'!CS17</f>
        <v>10</v>
      </c>
      <c r="CT8">
        <f>'2 Resident Population'!CT17</f>
        <v>13</v>
      </c>
      <c r="CU8">
        <f>'2 Resident Population'!CU17</f>
        <v>10</v>
      </c>
      <c r="CV8">
        <f>'2 Resident Population'!CV17</f>
        <v>14</v>
      </c>
      <c r="CW8">
        <f>'2 Resident Population'!CW17</f>
        <v>12</v>
      </c>
      <c r="CX8">
        <f>'2 Resident Population'!CX17</f>
        <v>4</v>
      </c>
      <c r="CY8">
        <f>'2 Resident Population'!CY17</f>
        <v>10</v>
      </c>
    </row>
    <row r="9" spans="1:103" x14ac:dyDescent="0.45">
      <c r="A9" t="str">
        <f>_xlfn.CONCAT('2 Resident Population'!B1,".",'2 Resident Population'!A18)</f>
        <v>Resident Population.resident population[Indian, male, age]</v>
      </c>
      <c r="B9">
        <f>'2 Resident Population'!B18</f>
        <v>0</v>
      </c>
      <c r="C9">
        <f>'2 Resident Population'!C18</f>
        <v>1447</v>
      </c>
      <c r="D9">
        <f>'2 Resident Population'!D18</f>
        <v>2236</v>
      </c>
      <c r="E9">
        <f>'2 Resident Population'!E18</f>
        <v>2739</v>
      </c>
      <c r="F9">
        <f>'2 Resident Population'!F18</f>
        <v>2874</v>
      </c>
      <c r="G9">
        <f>'2 Resident Population'!G18</f>
        <v>2820</v>
      </c>
      <c r="H9">
        <f>'2 Resident Population'!H18</f>
        <v>2698</v>
      </c>
      <c r="I9">
        <f>'2 Resident Population'!I18</f>
        <v>2782</v>
      </c>
      <c r="J9">
        <f>'2 Resident Population'!J18</f>
        <v>2634</v>
      </c>
      <c r="K9">
        <f>'2 Resident Population'!K18</f>
        <v>2630</v>
      </c>
      <c r="L9">
        <f>'2 Resident Population'!L18</f>
        <v>2569</v>
      </c>
      <c r="M9">
        <f>'2 Resident Population'!M18</f>
        <v>2581</v>
      </c>
      <c r="N9">
        <f>'2 Resident Population'!N18</f>
        <v>2434</v>
      </c>
      <c r="O9">
        <f>'2 Resident Population'!O18</f>
        <v>2388</v>
      </c>
      <c r="P9">
        <f>'2 Resident Population'!P18</f>
        <v>2326</v>
      </c>
      <c r="Q9">
        <f>'2 Resident Population'!Q18</f>
        <v>2291</v>
      </c>
      <c r="R9">
        <f>'2 Resident Population'!R18</f>
        <v>2301</v>
      </c>
      <c r="S9">
        <f>'2 Resident Population'!S18</f>
        <v>2311</v>
      </c>
      <c r="T9">
        <f>'2 Resident Population'!T18</f>
        <v>2336</v>
      </c>
      <c r="U9">
        <f>'2 Resident Population'!U18</f>
        <v>2176</v>
      </c>
      <c r="V9">
        <f>'2 Resident Population'!V18</f>
        <v>2190</v>
      </c>
      <c r="W9">
        <f>'2 Resident Population'!W18</f>
        <v>2171</v>
      </c>
      <c r="X9">
        <f>'2 Resident Population'!X18</f>
        <v>2158</v>
      </c>
      <c r="Y9">
        <f>'2 Resident Population'!Y18</f>
        <v>2120</v>
      </c>
      <c r="Z9">
        <f>'2 Resident Population'!Z18</f>
        <v>2101</v>
      </c>
      <c r="AA9">
        <f>'2 Resident Population'!AA18</f>
        <v>2071</v>
      </c>
      <c r="AB9">
        <f>'2 Resident Population'!AB18</f>
        <v>2186</v>
      </c>
      <c r="AC9">
        <f>'2 Resident Population'!AC18</f>
        <v>2314</v>
      </c>
      <c r="AD9">
        <f>'2 Resident Population'!AD18</f>
        <v>2680</v>
      </c>
      <c r="AE9">
        <f>'2 Resident Population'!AE18</f>
        <v>3037</v>
      </c>
      <c r="AF9">
        <f>'2 Resident Population'!AF18</f>
        <v>3364</v>
      </c>
      <c r="AG9">
        <f>'2 Resident Population'!AG18</f>
        <v>3554</v>
      </c>
      <c r="AH9">
        <f>'2 Resident Population'!AH18</f>
        <v>3665</v>
      </c>
      <c r="AI9">
        <f>'2 Resident Population'!AI18</f>
        <v>3806</v>
      </c>
      <c r="AJ9">
        <f>'2 Resident Population'!AJ18</f>
        <v>4055</v>
      </c>
      <c r="AK9">
        <f>'2 Resident Population'!AK18</f>
        <v>3910</v>
      </c>
      <c r="AL9">
        <f>'2 Resident Population'!AL18</f>
        <v>4195</v>
      </c>
      <c r="AM9">
        <f>'2 Resident Population'!AM18</f>
        <v>4027</v>
      </c>
      <c r="AN9">
        <f>'2 Resident Population'!AN18</f>
        <v>4034</v>
      </c>
      <c r="AO9">
        <f>'2 Resident Population'!AO18</f>
        <v>4132</v>
      </c>
      <c r="AP9">
        <f>'2 Resident Population'!AP18</f>
        <v>3911</v>
      </c>
      <c r="AQ9">
        <f>'2 Resident Population'!AQ18</f>
        <v>3636</v>
      </c>
      <c r="AR9">
        <f>'2 Resident Population'!AR18</f>
        <v>3564</v>
      </c>
      <c r="AS9">
        <f>'2 Resident Population'!AS18</f>
        <v>3412</v>
      </c>
      <c r="AT9">
        <f>'2 Resident Population'!AT18</f>
        <v>3433</v>
      </c>
      <c r="AU9">
        <f>'2 Resident Population'!AU18</f>
        <v>3337</v>
      </c>
      <c r="AV9">
        <f>'2 Resident Population'!AV18</f>
        <v>3146</v>
      </c>
      <c r="AW9">
        <f>'2 Resident Population'!AW18</f>
        <v>3140</v>
      </c>
      <c r="AX9">
        <f>'2 Resident Population'!AX18</f>
        <v>2864</v>
      </c>
      <c r="AY9">
        <f>'2 Resident Population'!AY18</f>
        <v>2776</v>
      </c>
      <c r="AZ9">
        <f>'2 Resident Population'!AZ18</f>
        <v>2773</v>
      </c>
      <c r="BA9">
        <f>'2 Resident Population'!BA18</f>
        <v>2743</v>
      </c>
      <c r="BB9">
        <f>'2 Resident Population'!BB18</f>
        <v>2556</v>
      </c>
      <c r="BC9">
        <f>'2 Resident Population'!BC18</f>
        <v>2390</v>
      </c>
      <c r="BD9">
        <f>'2 Resident Population'!BD18</f>
        <v>2133</v>
      </c>
      <c r="BE9">
        <f>'2 Resident Population'!BE18</f>
        <v>2106</v>
      </c>
      <c r="BF9">
        <f>'2 Resident Population'!BF18</f>
        <v>1848</v>
      </c>
      <c r="BG9">
        <f>'2 Resident Population'!BG18</f>
        <v>1757</v>
      </c>
      <c r="BH9">
        <f>'2 Resident Population'!BH18</f>
        <v>1745</v>
      </c>
      <c r="BI9">
        <f>'2 Resident Population'!BI18</f>
        <v>1541</v>
      </c>
      <c r="BJ9">
        <f>'2 Resident Population'!BJ18</f>
        <v>1369</v>
      </c>
      <c r="BK9">
        <f>'2 Resident Population'!BK18</f>
        <v>1451</v>
      </c>
      <c r="BL9">
        <f>'2 Resident Population'!BL18</f>
        <v>1284</v>
      </c>
      <c r="BM9">
        <f>'2 Resident Population'!BM18</f>
        <v>1247</v>
      </c>
      <c r="BN9">
        <f>'2 Resident Population'!BN18</f>
        <v>1212</v>
      </c>
      <c r="BO9">
        <f>'2 Resident Population'!BO18</f>
        <v>734</v>
      </c>
      <c r="BP9">
        <f>'2 Resident Population'!BP18</f>
        <v>613</v>
      </c>
      <c r="BQ9">
        <f>'2 Resident Population'!BQ18</f>
        <v>653</v>
      </c>
      <c r="BR9">
        <f>'2 Resident Population'!BR18</f>
        <v>573</v>
      </c>
      <c r="BS9">
        <f>'2 Resident Population'!BS18</f>
        <v>655</v>
      </c>
      <c r="BT9">
        <f>'2 Resident Population'!BT18</f>
        <v>638</v>
      </c>
      <c r="BU9">
        <f>'2 Resident Population'!BU18</f>
        <v>656</v>
      </c>
      <c r="BV9">
        <f>'2 Resident Population'!BV18</f>
        <v>504</v>
      </c>
      <c r="BW9">
        <f>'2 Resident Population'!BW18</f>
        <v>434</v>
      </c>
      <c r="BX9">
        <f>'2 Resident Population'!BX18</f>
        <v>390</v>
      </c>
      <c r="BY9">
        <f>'2 Resident Population'!BY18</f>
        <v>398</v>
      </c>
      <c r="BZ9">
        <f>'2 Resident Population'!BZ18</f>
        <v>418</v>
      </c>
      <c r="CA9">
        <f>'2 Resident Population'!CA18</f>
        <v>398</v>
      </c>
      <c r="CB9">
        <f>'2 Resident Population'!CB18</f>
        <v>439</v>
      </c>
      <c r="CC9">
        <f>'2 Resident Population'!CC18</f>
        <v>410</v>
      </c>
      <c r="CD9">
        <f>'2 Resident Population'!CD18</f>
        <v>378</v>
      </c>
      <c r="CE9">
        <f>'2 Resident Population'!CE18</f>
        <v>369</v>
      </c>
      <c r="CF9">
        <f>'2 Resident Population'!CF18</f>
        <v>328</v>
      </c>
      <c r="CG9">
        <f>'2 Resident Population'!CG18</f>
        <v>257</v>
      </c>
      <c r="CH9">
        <f>'2 Resident Population'!CH18</f>
        <v>228</v>
      </c>
      <c r="CI9">
        <f>'2 Resident Population'!CI18</f>
        <v>224</v>
      </c>
      <c r="CJ9">
        <f>'2 Resident Population'!CJ18</f>
        <v>181</v>
      </c>
      <c r="CK9">
        <f>'2 Resident Population'!CK18</f>
        <v>149</v>
      </c>
      <c r="CL9">
        <f>'2 Resident Population'!CL18</f>
        <v>99</v>
      </c>
      <c r="CM9">
        <f>'2 Resident Population'!CM18</f>
        <v>93</v>
      </c>
      <c r="CN9">
        <f>'2 Resident Population'!CN18</f>
        <v>60</v>
      </c>
      <c r="CO9">
        <f>'2 Resident Population'!CO18</f>
        <v>54</v>
      </c>
      <c r="CP9">
        <f>'2 Resident Population'!CP18</f>
        <v>57</v>
      </c>
      <c r="CQ9">
        <f>'2 Resident Population'!CQ18</f>
        <v>44</v>
      </c>
      <c r="CR9">
        <f>'2 Resident Population'!CR18</f>
        <v>32</v>
      </c>
      <c r="CS9">
        <f>'2 Resident Population'!CS18</f>
        <v>35</v>
      </c>
      <c r="CT9">
        <f>'2 Resident Population'!CT18</f>
        <v>23</v>
      </c>
      <c r="CU9">
        <f>'2 Resident Population'!CU18</f>
        <v>17</v>
      </c>
      <c r="CV9">
        <f>'2 Resident Population'!CV18</f>
        <v>9</v>
      </c>
      <c r="CW9">
        <f>'2 Resident Population'!CW18</f>
        <v>19</v>
      </c>
      <c r="CX9">
        <f>'2 Resident Population'!CX18</f>
        <v>4</v>
      </c>
      <c r="CY9">
        <f>'2 Resident Population'!CY18</f>
        <v>37</v>
      </c>
    </row>
    <row r="10" spans="1:103" x14ac:dyDescent="0.45">
      <c r="A10" t="str">
        <f>_xlfn.CONCAT('2 Resident Population'!B1,".",'2 Resident Population'!A19)</f>
        <v>Resident Population.resident population[Indian, female, age]</v>
      </c>
      <c r="B10">
        <f>'2 Resident Population'!B19</f>
        <v>0</v>
      </c>
      <c r="C10">
        <f>'2 Resident Population'!C19</f>
        <v>1480</v>
      </c>
      <c r="D10">
        <f>'2 Resident Population'!D19</f>
        <v>2274</v>
      </c>
      <c r="E10">
        <f>'2 Resident Population'!E19</f>
        <v>2812</v>
      </c>
      <c r="F10">
        <f>'2 Resident Population'!F19</f>
        <v>2888</v>
      </c>
      <c r="G10">
        <f>'2 Resident Population'!G19</f>
        <v>2855</v>
      </c>
      <c r="H10">
        <f>'2 Resident Population'!H19</f>
        <v>2812</v>
      </c>
      <c r="I10">
        <f>'2 Resident Population'!I19</f>
        <v>2697</v>
      </c>
      <c r="J10">
        <f>'2 Resident Population'!J19</f>
        <v>2668</v>
      </c>
      <c r="K10">
        <f>'2 Resident Population'!K19</f>
        <v>2571</v>
      </c>
      <c r="L10">
        <f>'2 Resident Population'!L19</f>
        <v>2494</v>
      </c>
      <c r="M10">
        <f>'2 Resident Population'!M19</f>
        <v>2416</v>
      </c>
      <c r="N10">
        <f>'2 Resident Population'!N19</f>
        <v>2458</v>
      </c>
      <c r="O10">
        <f>'2 Resident Population'!O19</f>
        <v>2421</v>
      </c>
      <c r="P10">
        <f>'2 Resident Population'!P19</f>
        <v>2339</v>
      </c>
      <c r="Q10">
        <f>'2 Resident Population'!Q19</f>
        <v>2292</v>
      </c>
      <c r="R10">
        <f>'2 Resident Population'!R19</f>
        <v>2265</v>
      </c>
      <c r="S10">
        <f>'2 Resident Population'!S19</f>
        <v>2357</v>
      </c>
      <c r="T10">
        <f>'2 Resident Population'!T19</f>
        <v>2273</v>
      </c>
      <c r="U10">
        <f>'2 Resident Population'!U19</f>
        <v>2293</v>
      </c>
      <c r="V10">
        <f>'2 Resident Population'!V19</f>
        <v>2267</v>
      </c>
      <c r="W10">
        <f>'2 Resident Population'!W19</f>
        <v>2192</v>
      </c>
      <c r="X10">
        <f>'2 Resident Population'!X19</f>
        <v>2154</v>
      </c>
      <c r="Y10">
        <f>'2 Resident Population'!Y19</f>
        <v>2265</v>
      </c>
      <c r="Z10">
        <f>'2 Resident Population'!Z19</f>
        <v>2168</v>
      </c>
      <c r="AA10">
        <f>'2 Resident Population'!AA19</f>
        <v>2288</v>
      </c>
      <c r="AB10">
        <f>'2 Resident Population'!AB19</f>
        <v>2683</v>
      </c>
      <c r="AC10">
        <f>'2 Resident Population'!AC19</f>
        <v>2797</v>
      </c>
      <c r="AD10">
        <f>'2 Resident Population'!AD19</f>
        <v>3236</v>
      </c>
      <c r="AE10">
        <f>'2 Resident Population'!AE19</f>
        <v>3366</v>
      </c>
      <c r="AF10">
        <f>'2 Resident Population'!AF19</f>
        <v>3663</v>
      </c>
      <c r="AG10">
        <f>'2 Resident Population'!AG19</f>
        <v>3778</v>
      </c>
      <c r="AH10">
        <f>'2 Resident Population'!AH19</f>
        <v>3553</v>
      </c>
      <c r="AI10">
        <f>'2 Resident Population'!AI19</f>
        <v>3414</v>
      </c>
      <c r="AJ10">
        <f>'2 Resident Population'!AJ19</f>
        <v>3396</v>
      </c>
      <c r="AK10">
        <f>'2 Resident Population'!AK19</f>
        <v>3284</v>
      </c>
      <c r="AL10">
        <f>'2 Resident Population'!AL19</f>
        <v>3198</v>
      </c>
      <c r="AM10">
        <f>'2 Resident Population'!AM19</f>
        <v>3089</v>
      </c>
      <c r="AN10">
        <f>'2 Resident Population'!AN19</f>
        <v>2962</v>
      </c>
      <c r="AO10">
        <f>'2 Resident Population'!AO19</f>
        <v>2840</v>
      </c>
      <c r="AP10">
        <f>'2 Resident Population'!AP19</f>
        <v>2697</v>
      </c>
      <c r="AQ10">
        <f>'2 Resident Population'!AQ19</f>
        <v>2547</v>
      </c>
      <c r="AR10">
        <f>'2 Resident Population'!AR19</f>
        <v>2529</v>
      </c>
      <c r="AS10">
        <f>'2 Resident Population'!AS19</f>
        <v>2502</v>
      </c>
      <c r="AT10">
        <f>'2 Resident Population'!AT19</f>
        <v>2545</v>
      </c>
      <c r="AU10">
        <f>'2 Resident Population'!AU19</f>
        <v>2588</v>
      </c>
      <c r="AV10">
        <f>'2 Resident Population'!AV19</f>
        <v>2533</v>
      </c>
      <c r="AW10">
        <f>'2 Resident Population'!AW19</f>
        <v>2594</v>
      </c>
      <c r="AX10">
        <f>'2 Resident Population'!AX19</f>
        <v>2555</v>
      </c>
      <c r="AY10">
        <f>'2 Resident Population'!AY19</f>
        <v>2448</v>
      </c>
      <c r="AZ10">
        <f>'2 Resident Population'!AZ19</f>
        <v>2422</v>
      </c>
      <c r="BA10">
        <f>'2 Resident Population'!BA19</f>
        <v>2363</v>
      </c>
      <c r="BB10">
        <f>'2 Resident Population'!BB19</f>
        <v>2152</v>
      </c>
      <c r="BC10">
        <f>'2 Resident Population'!BC19</f>
        <v>2100</v>
      </c>
      <c r="BD10">
        <f>'2 Resident Population'!BD19</f>
        <v>1965</v>
      </c>
      <c r="BE10">
        <f>'2 Resident Population'!BE19</f>
        <v>1935</v>
      </c>
      <c r="BF10">
        <f>'2 Resident Population'!BF19</f>
        <v>1848</v>
      </c>
      <c r="BG10">
        <f>'2 Resident Population'!BG19</f>
        <v>1697</v>
      </c>
      <c r="BH10">
        <f>'2 Resident Population'!BH19</f>
        <v>1544</v>
      </c>
      <c r="BI10">
        <f>'2 Resident Population'!BI19</f>
        <v>1540</v>
      </c>
      <c r="BJ10">
        <f>'2 Resident Population'!BJ19</f>
        <v>1419</v>
      </c>
      <c r="BK10">
        <f>'2 Resident Population'!BK19</f>
        <v>1449</v>
      </c>
      <c r="BL10">
        <f>'2 Resident Population'!BL19</f>
        <v>1390</v>
      </c>
      <c r="BM10">
        <f>'2 Resident Population'!BM19</f>
        <v>1220</v>
      </c>
      <c r="BN10">
        <f>'2 Resident Population'!BN19</f>
        <v>1273</v>
      </c>
      <c r="BO10">
        <f>'2 Resident Population'!BO19</f>
        <v>749</v>
      </c>
      <c r="BP10">
        <f>'2 Resident Population'!BP19</f>
        <v>648</v>
      </c>
      <c r="BQ10">
        <f>'2 Resident Population'!BQ19</f>
        <v>653</v>
      </c>
      <c r="BR10">
        <f>'2 Resident Population'!BR19</f>
        <v>603</v>
      </c>
      <c r="BS10">
        <f>'2 Resident Population'!BS19</f>
        <v>674</v>
      </c>
      <c r="BT10">
        <f>'2 Resident Population'!BT19</f>
        <v>666</v>
      </c>
      <c r="BU10">
        <f>'2 Resident Population'!BU19</f>
        <v>714</v>
      </c>
      <c r="BV10">
        <f>'2 Resident Population'!BV19</f>
        <v>657</v>
      </c>
      <c r="BW10">
        <f>'2 Resident Population'!BW19</f>
        <v>592</v>
      </c>
      <c r="BX10">
        <f>'2 Resident Population'!BX19</f>
        <v>515</v>
      </c>
      <c r="BY10">
        <f>'2 Resident Population'!BY19</f>
        <v>514</v>
      </c>
      <c r="BZ10">
        <f>'2 Resident Population'!BZ19</f>
        <v>531</v>
      </c>
      <c r="CA10">
        <f>'2 Resident Population'!CA19</f>
        <v>423</v>
      </c>
      <c r="CB10">
        <f>'2 Resident Population'!CB19</f>
        <v>403</v>
      </c>
      <c r="CC10">
        <f>'2 Resident Population'!CC19</f>
        <v>358</v>
      </c>
      <c r="CD10">
        <f>'2 Resident Population'!CD19</f>
        <v>289</v>
      </c>
      <c r="CE10">
        <f>'2 Resident Population'!CE19</f>
        <v>309</v>
      </c>
      <c r="CF10">
        <f>'2 Resident Population'!CF19</f>
        <v>251</v>
      </c>
      <c r="CG10">
        <f>'2 Resident Population'!CG19</f>
        <v>236</v>
      </c>
      <c r="CH10">
        <f>'2 Resident Population'!CH19</f>
        <v>185</v>
      </c>
      <c r="CI10">
        <f>'2 Resident Population'!CI19</f>
        <v>128</v>
      </c>
      <c r="CJ10">
        <f>'2 Resident Population'!CJ19</f>
        <v>121</v>
      </c>
      <c r="CK10">
        <f>'2 Resident Population'!CK19</f>
        <v>98</v>
      </c>
      <c r="CL10">
        <f>'2 Resident Population'!CL19</f>
        <v>100</v>
      </c>
      <c r="CM10">
        <f>'2 Resident Population'!CM19</f>
        <v>64</v>
      </c>
      <c r="CN10">
        <f>'2 Resident Population'!CN19</f>
        <v>46</v>
      </c>
      <c r="CO10">
        <f>'2 Resident Population'!CO19</f>
        <v>36</v>
      </c>
      <c r="CP10">
        <f>'2 Resident Population'!CP19</f>
        <v>30</v>
      </c>
      <c r="CQ10">
        <f>'2 Resident Population'!CQ19</f>
        <v>22</v>
      </c>
      <c r="CR10">
        <f>'2 Resident Population'!CR19</f>
        <v>23</v>
      </c>
      <c r="CS10">
        <f>'2 Resident Population'!CS19</f>
        <v>7</v>
      </c>
      <c r="CT10">
        <f>'2 Resident Population'!CT19</f>
        <v>6</v>
      </c>
      <c r="CU10">
        <f>'2 Resident Population'!CU19</f>
        <v>6</v>
      </c>
      <c r="CV10">
        <f>'2 Resident Population'!CV19</f>
        <v>5</v>
      </c>
      <c r="CW10">
        <f>'2 Resident Population'!CW19</f>
        <v>8</v>
      </c>
      <c r="CX10">
        <f>'2 Resident Population'!CX19</f>
        <v>2</v>
      </c>
      <c r="CY10">
        <f>'2 Resident Population'!CY19</f>
        <v>7</v>
      </c>
    </row>
    <row r="11" spans="1:103" x14ac:dyDescent="0.45">
      <c r="A11" t="str">
        <f>_xlfn.CONCAT('2 Resident Population'!B1,".",'2 Resident Population'!A20)</f>
        <v>Resident Population.resident population[Other, male, age]</v>
      </c>
      <c r="B11">
        <f>'2 Resident Population'!B20</f>
        <v>0</v>
      </c>
      <c r="C11">
        <f>'2 Resident Population'!C20</f>
        <v>540</v>
      </c>
      <c r="D11">
        <f>'2 Resident Population'!D20</f>
        <v>945</v>
      </c>
      <c r="E11">
        <f>'2 Resident Population'!E20</f>
        <v>1052</v>
      </c>
      <c r="F11">
        <f>'2 Resident Population'!F20</f>
        <v>1066</v>
      </c>
      <c r="G11">
        <f>'2 Resident Population'!G20</f>
        <v>986</v>
      </c>
      <c r="H11">
        <f>'2 Resident Population'!H20</f>
        <v>1046</v>
      </c>
      <c r="I11">
        <f>'2 Resident Population'!I20</f>
        <v>1076</v>
      </c>
      <c r="J11">
        <f>'2 Resident Population'!J20</f>
        <v>997</v>
      </c>
      <c r="K11">
        <f>'2 Resident Population'!K20</f>
        <v>974</v>
      </c>
      <c r="L11">
        <f>'2 Resident Population'!L20</f>
        <v>974</v>
      </c>
      <c r="M11">
        <f>'2 Resident Population'!M20</f>
        <v>939</v>
      </c>
      <c r="N11">
        <f>'2 Resident Population'!N20</f>
        <v>861</v>
      </c>
      <c r="O11">
        <f>'2 Resident Population'!O20</f>
        <v>836</v>
      </c>
      <c r="P11">
        <f>'2 Resident Population'!P20</f>
        <v>768</v>
      </c>
      <c r="Q11">
        <f>'2 Resident Population'!Q20</f>
        <v>708</v>
      </c>
      <c r="R11">
        <f>'2 Resident Population'!R20</f>
        <v>653</v>
      </c>
      <c r="S11">
        <f>'2 Resident Population'!S20</f>
        <v>584</v>
      </c>
      <c r="T11">
        <f>'2 Resident Population'!T20</f>
        <v>552</v>
      </c>
      <c r="U11">
        <f>'2 Resident Population'!U20</f>
        <v>488</v>
      </c>
      <c r="V11">
        <f>'2 Resident Population'!V20</f>
        <v>505</v>
      </c>
      <c r="W11">
        <f>'2 Resident Population'!W20</f>
        <v>458</v>
      </c>
      <c r="X11">
        <f>'2 Resident Population'!X20</f>
        <v>466</v>
      </c>
      <c r="Y11">
        <f>'2 Resident Population'!Y20</f>
        <v>420</v>
      </c>
      <c r="Z11">
        <f>'2 Resident Population'!Z20</f>
        <v>390</v>
      </c>
      <c r="AA11">
        <f>'2 Resident Population'!AA20</f>
        <v>441</v>
      </c>
      <c r="AB11">
        <f>'2 Resident Population'!AB20</f>
        <v>531</v>
      </c>
      <c r="AC11">
        <f>'2 Resident Population'!AC20</f>
        <v>623</v>
      </c>
      <c r="AD11">
        <f>'2 Resident Population'!AD20</f>
        <v>667</v>
      </c>
      <c r="AE11">
        <f>'2 Resident Population'!AE20</f>
        <v>928</v>
      </c>
      <c r="AF11">
        <f>'2 Resident Population'!AF20</f>
        <v>1077</v>
      </c>
      <c r="AG11">
        <f>'2 Resident Population'!AG20</f>
        <v>1249</v>
      </c>
      <c r="AH11">
        <f>'2 Resident Population'!AH20</f>
        <v>1263</v>
      </c>
      <c r="AI11">
        <f>'2 Resident Population'!AI20</f>
        <v>1294</v>
      </c>
      <c r="AJ11">
        <f>'2 Resident Population'!AJ20</f>
        <v>1457</v>
      </c>
      <c r="AK11">
        <f>'2 Resident Population'!AK20</f>
        <v>1493</v>
      </c>
      <c r="AL11">
        <f>'2 Resident Population'!AL20</f>
        <v>1559</v>
      </c>
      <c r="AM11">
        <f>'2 Resident Population'!AM20</f>
        <v>1549</v>
      </c>
      <c r="AN11">
        <f>'2 Resident Population'!AN20</f>
        <v>1654</v>
      </c>
      <c r="AO11">
        <f>'2 Resident Population'!AO20</f>
        <v>1618</v>
      </c>
      <c r="AP11">
        <f>'2 Resident Population'!AP20</f>
        <v>1556</v>
      </c>
      <c r="AQ11">
        <f>'2 Resident Population'!AQ20</f>
        <v>1549</v>
      </c>
      <c r="AR11">
        <f>'2 Resident Population'!AR20</f>
        <v>1307</v>
      </c>
      <c r="AS11">
        <f>'2 Resident Population'!AS20</f>
        <v>1445</v>
      </c>
      <c r="AT11">
        <f>'2 Resident Population'!AT20</f>
        <v>1338</v>
      </c>
      <c r="AU11">
        <f>'2 Resident Population'!AU20</f>
        <v>1339</v>
      </c>
      <c r="AV11">
        <f>'2 Resident Population'!AV20</f>
        <v>1219</v>
      </c>
      <c r="AW11">
        <f>'2 Resident Population'!AW20</f>
        <v>1158</v>
      </c>
      <c r="AX11">
        <f>'2 Resident Population'!AX20</f>
        <v>1131</v>
      </c>
      <c r="AY11">
        <f>'2 Resident Population'!AY20</f>
        <v>1009</v>
      </c>
      <c r="AZ11">
        <f>'2 Resident Population'!AZ20</f>
        <v>934</v>
      </c>
      <c r="BA11">
        <f>'2 Resident Population'!BA20</f>
        <v>873</v>
      </c>
      <c r="BB11">
        <f>'2 Resident Population'!BB20</f>
        <v>770</v>
      </c>
      <c r="BC11">
        <f>'2 Resident Population'!BC20</f>
        <v>743</v>
      </c>
      <c r="BD11">
        <f>'2 Resident Population'!BD20</f>
        <v>669</v>
      </c>
      <c r="BE11">
        <f>'2 Resident Population'!BE20</f>
        <v>638</v>
      </c>
      <c r="BF11">
        <f>'2 Resident Population'!BF20</f>
        <v>580</v>
      </c>
      <c r="BG11">
        <f>'2 Resident Population'!BG20</f>
        <v>533</v>
      </c>
      <c r="BH11">
        <f>'2 Resident Population'!BH20</f>
        <v>483</v>
      </c>
      <c r="BI11">
        <f>'2 Resident Population'!BI20</f>
        <v>439</v>
      </c>
      <c r="BJ11">
        <f>'2 Resident Population'!BJ20</f>
        <v>430</v>
      </c>
      <c r="BK11">
        <f>'2 Resident Population'!BK20</f>
        <v>442</v>
      </c>
      <c r="BL11">
        <f>'2 Resident Population'!BL20</f>
        <v>368</v>
      </c>
      <c r="BM11">
        <f>'2 Resident Population'!BM20</f>
        <v>389</v>
      </c>
      <c r="BN11">
        <f>'2 Resident Population'!BN20</f>
        <v>372</v>
      </c>
      <c r="BO11">
        <f>'2 Resident Population'!BO20</f>
        <v>232</v>
      </c>
      <c r="BP11">
        <f>'2 Resident Population'!BP20</f>
        <v>199</v>
      </c>
      <c r="BQ11">
        <f>'2 Resident Population'!BQ20</f>
        <v>184</v>
      </c>
      <c r="BR11">
        <f>'2 Resident Population'!BR20</f>
        <v>169</v>
      </c>
      <c r="BS11">
        <f>'2 Resident Population'!BS20</f>
        <v>139</v>
      </c>
      <c r="BT11">
        <f>'2 Resident Population'!BT20</f>
        <v>142</v>
      </c>
      <c r="BU11">
        <f>'2 Resident Population'!BU20</f>
        <v>153</v>
      </c>
      <c r="BV11">
        <f>'2 Resident Population'!BV20</f>
        <v>119</v>
      </c>
      <c r="BW11">
        <f>'2 Resident Population'!BW20</f>
        <v>118</v>
      </c>
      <c r="BX11">
        <f>'2 Resident Population'!BX20</f>
        <v>106</v>
      </c>
      <c r="BY11">
        <f>'2 Resident Population'!BY20</f>
        <v>98</v>
      </c>
      <c r="BZ11">
        <f>'2 Resident Population'!BZ20</f>
        <v>80</v>
      </c>
      <c r="CA11">
        <f>'2 Resident Population'!CA20</f>
        <v>83</v>
      </c>
      <c r="CB11">
        <f>'2 Resident Population'!CB20</f>
        <v>85</v>
      </c>
      <c r="CC11">
        <f>'2 Resident Population'!CC20</f>
        <v>68</v>
      </c>
      <c r="CD11">
        <f>'2 Resident Population'!CD20</f>
        <v>74</v>
      </c>
      <c r="CE11">
        <f>'2 Resident Population'!CE20</f>
        <v>67</v>
      </c>
      <c r="CF11">
        <f>'2 Resident Population'!CF20</f>
        <v>59</v>
      </c>
      <c r="CG11">
        <f>'2 Resident Population'!CG20</f>
        <v>39</v>
      </c>
      <c r="CH11">
        <f>'2 Resident Population'!CH20</f>
        <v>40</v>
      </c>
      <c r="CI11">
        <f>'2 Resident Population'!CI20</f>
        <v>32</v>
      </c>
      <c r="CJ11">
        <f>'2 Resident Population'!CJ20</f>
        <v>31</v>
      </c>
      <c r="CK11">
        <f>'2 Resident Population'!CK20</f>
        <v>26</v>
      </c>
      <c r="CL11">
        <f>'2 Resident Population'!CL20</f>
        <v>18</v>
      </c>
      <c r="CM11">
        <f>'2 Resident Population'!CM20</f>
        <v>19</v>
      </c>
      <c r="CN11">
        <f>'2 Resident Population'!CN20</f>
        <v>11</v>
      </c>
      <c r="CO11">
        <f>'2 Resident Population'!CO20</f>
        <v>8</v>
      </c>
      <c r="CP11">
        <f>'2 Resident Population'!CP20</f>
        <v>11</v>
      </c>
      <c r="CQ11">
        <f>'2 Resident Population'!CQ20</f>
        <v>7</v>
      </c>
      <c r="CR11">
        <f>'2 Resident Population'!CR20</f>
        <v>2</v>
      </c>
      <c r="CS11">
        <f>'2 Resident Population'!CS20</f>
        <v>4</v>
      </c>
      <c r="CT11">
        <f>'2 Resident Population'!CT20</f>
        <v>1</v>
      </c>
      <c r="CU11">
        <f>'2 Resident Population'!CU20</f>
        <v>2</v>
      </c>
      <c r="CV11">
        <f>'2 Resident Population'!CV20</f>
        <v>1</v>
      </c>
      <c r="CW11">
        <f>'2 Resident Population'!CW20</f>
        <v>2</v>
      </c>
      <c r="CX11">
        <f>'2 Resident Population'!CX20</f>
        <v>2</v>
      </c>
      <c r="CY11">
        <f>'2 Resident Population'!CY20</f>
        <v>6</v>
      </c>
    </row>
    <row r="12" spans="1:103" x14ac:dyDescent="0.45">
      <c r="A12" t="str">
        <f>_xlfn.CONCAT('2 Resident Population'!B1,".",'2 Resident Population'!A21)</f>
        <v>Resident Population.resident population[Other, female, age]</v>
      </c>
      <c r="B12">
        <f>'2 Resident Population'!B21</f>
        <v>0</v>
      </c>
      <c r="C12">
        <f>'2 Resident Population'!C21</f>
        <v>524</v>
      </c>
      <c r="D12">
        <f>'2 Resident Population'!D21</f>
        <v>1047</v>
      </c>
      <c r="E12">
        <f>'2 Resident Population'!E21</f>
        <v>1118</v>
      </c>
      <c r="F12">
        <f>'2 Resident Population'!F21</f>
        <v>1105</v>
      </c>
      <c r="G12">
        <f>'2 Resident Population'!G21</f>
        <v>1108</v>
      </c>
      <c r="H12">
        <f>'2 Resident Population'!H21</f>
        <v>1098</v>
      </c>
      <c r="I12">
        <f>'2 Resident Population'!I21</f>
        <v>1063</v>
      </c>
      <c r="J12">
        <f>'2 Resident Population'!J21</f>
        <v>1053</v>
      </c>
      <c r="K12">
        <f>'2 Resident Population'!K21</f>
        <v>1030</v>
      </c>
      <c r="L12">
        <f>'2 Resident Population'!L21</f>
        <v>1067</v>
      </c>
      <c r="M12">
        <f>'2 Resident Population'!M21</f>
        <v>961</v>
      </c>
      <c r="N12">
        <f>'2 Resident Population'!N21</f>
        <v>1004</v>
      </c>
      <c r="O12">
        <f>'2 Resident Population'!O21</f>
        <v>962</v>
      </c>
      <c r="P12">
        <f>'2 Resident Population'!P21</f>
        <v>878</v>
      </c>
      <c r="Q12">
        <f>'2 Resident Population'!Q21</f>
        <v>824</v>
      </c>
      <c r="R12">
        <f>'2 Resident Population'!R21</f>
        <v>750</v>
      </c>
      <c r="S12">
        <f>'2 Resident Population'!S21</f>
        <v>670</v>
      </c>
      <c r="T12">
        <f>'2 Resident Population'!T21</f>
        <v>687</v>
      </c>
      <c r="U12">
        <f>'2 Resident Population'!U21</f>
        <v>714</v>
      </c>
      <c r="V12">
        <f>'2 Resident Population'!V21</f>
        <v>612</v>
      </c>
      <c r="W12">
        <f>'2 Resident Population'!W21</f>
        <v>550</v>
      </c>
      <c r="X12">
        <f>'2 Resident Population'!X21</f>
        <v>608</v>
      </c>
      <c r="Y12">
        <f>'2 Resident Population'!Y21</f>
        <v>628</v>
      </c>
      <c r="Z12">
        <f>'2 Resident Population'!Z21</f>
        <v>612</v>
      </c>
      <c r="AA12">
        <f>'2 Resident Population'!AA21</f>
        <v>699</v>
      </c>
      <c r="AB12">
        <f>'2 Resident Population'!AB21</f>
        <v>883</v>
      </c>
      <c r="AC12">
        <f>'2 Resident Population'!AC21</f>
        <v>1079</v>
      </c>
      <c r="AD12">
        <f>'2 Resident Population'!AD21</f>
        <v>1235</v>
      </c>
      <c r="AE12">
        <f>'2 Resident Population'!AE21</f>
        <v>1410</v>
      </c>
      <c r="AF12">
        <f>'2 Resident Population'!AF21</f>
        <v>1656</v>
      </c>
      <c r="AG12">
        <f>'2 Resident Population'!AG21</f>
        <v>1685</v>
      </c>
      <c r="AH12">
        <f>'2 Resident Population'!AH21</f>
        <v>1820</v>
      </c>
      <c r="AI12">
        <f>'2 Resident Population'!AI21</f>
        <v>1803</v>
      </c>
      <c r="AJ12">
        <f>'2 Resident Population'!AJ21</f>
        <v>1905</v>
      </c>
      <c r="AK12">
        <f>'2 Resident Population'!AK21</f>
        <v>1817</v>
      </c>
      <c r="AL12">
        <f>'2 Resident Population'!AL21</f>
        <v>1894</v>
      </c>
      <c r="AM12">
        <f>'2 Resident Population'!AM21</f>
        <v>1847</v>
      </c>
      <c r="AN12">
        <f>'2 Resident Population'!AN21</f>
        <v>1804</v>
      </c>
      <c r="AO12">
        <f>'2 Resident Population'!AO21</f>
        <v>1764</v>
      </c>
      <c r="AP12">
        <f>'2 Resident Population'!AP21</f>
        <v>1735</v>
      </c>
      <c r="AQ12">
        <f>'2 Resident Population'!AQ21</f>
        <v>1637</v>
      </c>
      <c r="AR12">
        <f>'2 Resident Population'!AR21</f>
        <v>1518</v>
      </c>
      <c r="AS12">
        <f>'2 Resident Population'!AS21</f>
        <v>1350</v>
      </c>
      <c r="AT12">
        <f>'2 Resident Population'!AT21</f>
        <v>1369</v>
      </c>
      <c r="AU12">
        <f>'2 Resident Population'!AU21</f>
        <v>1194</v>
      </c>
      <c r="AV12">
        <f>'2 Resident Population'!AV21</f>
        <v>1088</v>
      </c>
      <c r="AW12">
        <f>'2 Resident Population'!AW21</f>
        <v>1041</v>
      </c>
      <c r="AX12">
        <f>'2 Resident Population'!AX21</f>
        <v>946</v>
      </c>
      <c r="AY12">
        <f>'2 Resident Population'!AY21</f>
        <v>864</v>
      </c>
      <c r="AZ12">
        <f>'2 Resident Population'!AZ21</f>
        <v>840</v>
      </c>
      <c r="BA12">
        <f>'2 Resident Population'!BA21</f>
        <v>781</v>
      </c>
      <c r="BB12">
        <f>'2 Resident Population'!BB21</f>
        <v>669</v>
      </c>
      <c r="BC12">
        <f>'2 Resident Population'!BC21</f>
        <v>581</v>
      </c>
      <c r="BD12">
        <f>'2 Resident Population'!BD21</f>
        <v>551</v>
      </c>
      <c r="BE12">
        <f>'2 Resident Population'!BE21</f>
        <v>472</v>
      </c>
      <c r="BF12">
        <f>'2 Resident Population'!BF21</f>
        <v>456</v>
      </c>
      <c r="BG12">
        <f>'2 Resident Population'!BG21</f>
        <v>395</v>
      </c>
      <c r="BH12">
        <f>'2 Resident Population'!BH21</f>
        <v>367</v>
      </c>
      <c r="BI12">
        <f>'2 Resident Population'!BI21</f>
        <v>328</v>
      </c>
      <c r="BJ12">
        <f>'2 Resident Population'!BJ21</f>
        <v>265</v>
      </c>
      <c r="BK12">
        <f>'2 Resident Population'!BK21</f>
        <v>310</v>
      </c>
      <c r="BL12">
        <f>'2 Resident Population'!BL21</f>
        <v>261</v>
      </c>
      <c r="BM12">
        <f>'2 Resident Population'!BM21</f>
        <v>266</v>
      </c>
      <c r="BN12">
        <f>'2 Resident Population'!BN21</f>
        <v>258</v>
      </c>
      <c r="BO12">
        <f>'2 Resident Population'!BO21</f>
        <v>147</v>
      </c>
      <c r="BP12">
        <f>'2 Resident Population'!BP21</f>
        <v>108</v>
      </c>
      <c r="BQ12">
        <f>'2 Resident Population'!BQ21</f>
        <v>108</v>
      </c>
      <c r="BR12">
        <f>'2 Resident Population'!BR21</f>
        <v>135</v>
      </c>
      <c r="BS12">
        <f>'2 Resident Population'!BS21</f>
        <v>124</v>
      </c>
      <c r="BT12">
        <f>'2 Resident Population'!BT21</f>
        <v>130</v>
      </c>
      <c r="BU12">
        <f>'2 Resident Population'!BU21</f>
        <v>131</v>
      </c>
      <c r="BV12">
        <f>'2 Resident Population'!BV21</f>
        <v>122</v>
      </c>
      <c r="BW12">
        <f>'2 Resident Population'!BW21</f>
        <v>104</v>
      </c>
      <c r="BX12">
        <f>'2 Resident Population'!BX21</f>
        <v>118</v>
      </c>
      <c r="BY12">
        <f>'2 Resident Population'!BY21</f>
        <v>114</v>
      </c>
      <c r="BZ12">
        <f>'2 Resident Population'!BZ21</f>
        <v>107</v>
      </c>
      <c r="CA12">
        <f>'2 Resident Population'!CA21</f>
        <v>104</v>
      </c>
      <c r="CB12">
        <f>'2 Resident Population'!CB21</f>
        <v>86</v>
      </c>
      <c r="CC12">
        <f>'2 Resident Population'!CC21</f>
        <v>77</v>
      </c>
      <c r="CD12">
        <f>'2 Resident Population'!CD21</f>
        <v>104</v>
      </c>
      <c r="CE12">
        <f>'2 Resident Population'!CE21</f>
        <v>74</v>
      </c>
      <c r="CF12">
        <f>'2 Resident Population'!CF21</f>
        <v>77</v>
      </c>
      <c r="CG12">
        <f>'2 Resident Population'!CG21</f>
        <v>70</v>
      </c>
      <c r="CH12">
        <f>'2 Resident Population'!CH21</f>
        <v>65</v>
      </c>
      <c r="CI12">
        <f>'2 Resident Population'!CI21</f>
        <v>36</v>
      </c>
      <c r="CJ12">
        <f>'2 Resident Population'!CJ21</f>
        <v>31</v>
      </c>
      <c r="CK12">
        <f>'2 Resident Population'!CK21</f>
        <v>35</v>
      </c>
      <c r="CL12">
        <f>'2 Resident Population'!CL21</f>
        <v>31</v>
      </c>
      <c r="CM12">
        <f>'2 Resident Population'!CM21</f>
        <v>34</v>
      </c>
      <c r="CN12">
        <f>'2 Resident Population'!CN21</f>
        <v>25</v>
      </c>
      <c r="CO12">
        <f>'2 Resident Population'!CO21</f>
        <v>20</v>
      </c>
      <c r="CP12">
        <f>'2 Resident Population'!CP21</f>
        <v>16</v>
      </c>
      <c r="CQ12">
        <f>'2 Resident Population'!CQ21</f>
        <v>14</v>
      </c>
      <c r="CR12">
        <f>'2 Resident Population'!CR21</f>
        <v>8</v>
      </c>
      <c r="CS12">
        <f>'2 Resident Population'!CS21</f>
        <v>10</v>
      </c>
      <c r="CT12">
        <f>'2 Resident Population'!CT21</f>
        <v>7</v>
      </c>
      <c r="CU12">
        <f>'2 Resident Population'!CU21</f>
        <v>10</v>
      </c>
      <c r="CV12">
        <f>'2 Resident Population'!CV21</f>
        <v>4</v>
      </c>
      <c r="CW12">
        <f>'2 Resident Population'!CW21</f>
        <v>7</v>
      </c>
      <c r="CX12">
        <f>'2 Resident Population'!CX21</f>
        <v>4</v>
      </c>
      <c r="CY12">
        <f>'2 Resident Population'!CY21</f>
        <v>3</v>
      </c>
    </row>
    <row r="13" spans="1:103" x14ac:dyDescent="0.45">
      <c r="A13" t="str">
        <f>_xlfn.CONCAT('2 Resident Population'!B1,".",'2 Resident Population'!A24)</f>
        <v>Resident Population.net migration rate[Chinese, male, age]</v>
      </c>
      <c r="B13">
        <f>'2 Resident Population'!B24</f>
        <v>0</v>
      </c>
      <c r="C13">
        <f>'2 Resident Population'!C24</f>
        <v>5.8999999999999999E-3</v>
      </c>
      <c r="D13">
        <f>'2 Resident Population'!D24</f>
        <v>5.8999999999999999E-3</v>
      </c>
      <c r="E13">
        <f>'2 Resident Population'!E24</f>
        <v>5.8999999999999999E-3</v>
      </c>
      <c r="F13">
        <f>'2 Resident Population'!F24</f>
        <v>5.8999999999999999E-3</v>
      </c>
      <c r="G13">
        <f>'2 Resident Population'!G24</f>
        <v>5.8999999999999999E-3</v>
      </c>
      <c r="H13">
        <f>'2 Resident Population'!H24</f>
        <v>5.8999999999999999E-3</v>
      </c>
      <c r="I13">
        <f>'2 Resident Population'!I24</f>
        <v>5.8999999999999999E-3</v>
      </c>
      <c r="J13">
        <f>'2 Resident Population'!J24</f>
        <v>5.8999999999999999E-3</v>
      </c>
      <c r="K13">
        <f>'2 Resident Population'!K24</f>
        <v>5.8999999999999999E-3</v>
      </c>
      <c r="L13">
        <f>'2 Resident Population'!L24</f>
        <v>5.8999999999999999E-3</v>
      </c>
      <c r="M13">
        <f>'2 Resident Population'!M24</f>
        <v>5.8999999999999999E-3</v>
      </c>
      <c r="N13">
        <f>'2 Resident Population'!N24</f>
        <v>5.8999999999999999E-3</v>
      </c>
      <c r="O13">
        <f>'2 Resident Population'!O24</f>
        <v>5.8999999999999999E-3</v>
      </c>
      <c r="P13">
        <f>'2 Resident Population'!P24</f>
        <v>5.8999999999999999E-3</v>
      </c>
      <c r="Q13">
        <f>'2 Resident Population'!Q24</f>
        <v>5.8999999999999999E-3</v>
      </c>
      <c r="R13">
        <f>'2 Resident Population'!R24</f>
        <v>5.8999999999999999E-3</v>
      </c>
      <c r="S13">
        <f>'2 Resident Population'!S24</f>
        <v>5.8999999999999999E-3</v>
      </c>
      <c r="T13">
        <f>'2 Resident Population'!T24</f>
        <v>5.8999999999999999E-3</v>
      </c>
      <c r="U13">
        <f>'2 Resident Population'!U24</f>
        <v>5.8999999999999999E-3</v>
      </c>
      <c r="V13">
        <f>'2 Resident Population'!V24</f>
        <v>5.8999999999999999E-3</v>
      </c>
      <c r="W13">
        <f>'2 Resident Population'!W24</f>
        <v>5.8999999999999999E-3</v>
      </c>
      <c r="X13">
        <f>'2 Resident Population'!X24</f>
        <v>5.8999999999999999E-3</v>
      </c>
      <c r="Y13">
        <f>'2 Resident Population'!Y24</f>
        <v>5.8999999999999999E-3</v>
      </c>
      <c r="Z13">
        <f>'2 Resident Population'!Z24</f>
        <v>5.8999999999999999E-3</v>
      </c>
      <c r="AA13">
        <f>'2 Resident Population'!AA24</f>
        <v>5.8999999999999999E-3</v>
      </c>
      <c r="AB13">
        <f>'2 Resident Population'!AB24</f>
        <v>5.8999999999999999E-3</v>
      </c>
      <c r="AC13">
        <f>'2 Resident Population'!AC24</f>
        <v>5.8999999999999999E-3</v>
      </c>
      <c r="AD13">
        <f>'2 Resident Population'!AD24</f>
        <v>5.8999999999999999E-3</v>
      </c>
      <c r="AE13">
        <f>'2 Resident Population'!AE24</f>
        <v>5.8999999999999999E-3</v>
      </c>
      <c r="AF13">
        <f>'2 Resident Population'!AF24</f>
        <v>5.8999999999999999E-3</v>
      </c>
      <c r="AG13">
        <f>'2 Resident Population'!AG24</f>
        <v>5.8999999999999999E-3</v>
      </c>
      <c r="AH13">
        <f>'2 Resident Population'!AH24</f>
        <v>5.8999999999999999E-3</v>
      </c>
      <c r="AI13">
        <f>'2 Resident Population'!AI24</f>
        <v>5.8999999999999999E-3</v>
      </c>
      <c r="AJ13">
        <f>'2 Resident Population'!AJ24</f>
        <v>5.8999999999999999E-3</v>
      </c>
      <c r="AK13">
        <f>'2 Resident Population'!AK24</f>
        <v>5.8999999999999999E-3</v>
      </c>
      <c r="AL13">
        <f>'2 Resident Population'!AL24</f>
        <v>5.8999999999999999E-3</v>
      </c>
      <c r="AM13">
        <f>'2 Resident Population'!AM24</f>
        <v>5.8999999999999999E-3</v>
      </c>
      <c r="AN13">
        <f>'2 Resident Population'!AN24</f>
        <v>5.8999999999999999E-3</v>
      </c>
      <c r="AO13">
        <f>'2 Resident Population'!AO24</f>
        <v>5.8999999999999999E-3</v>
      </c>
      <c r="AP13">
        <f>'2 Resident Population'!AP24</f>
        <v>5.8999999999999999E-3</v>
      </c>
      <c r="AQ13">
        <f>'2 Resident Population'!AQ24</f>
        <v>5.8999999999999999E-3</v>
      </c>
      <c r="AR13">
        <f>'2 Resident Population'!AR24</f>
        <v>5.8999999999999999E-3</v>
      </c>
      <c r="AS13">
        <f>'2 Resident Population'!AS24</f>
        <v>5.8999999999999999E-3</v>
      </c>
      <c r="AT13">
        <f>'2 Resident Population'!AT24</f>
        <v>5.8999999999999999E-3</v>
      </c>
      <c r="AU13">
        <f>'2 Resident Population'!AU24</f>
        <v>5.8999999999999999E-3</v>
      </c>
      <c r="AV13">
        <f>'2 Resident Population'!AV24</f>
        <v>5.8999999999999999E-3</v>
      </c>
      <c r="AW13">
        <f>'2 Resident Population'!AW24</f>
        <v>5.8999999999999999E-3</v>
      </c>
      <c r="AX13">
        <f>'2 Resident Population'!AX24</f>
        <v>5.8999999999999999E-3</v>
      </c>
      <c r="AY13">
        <f>'2 Resident Population'!AY24</f>
        <v>5.8999999999999999E-3</v>
      </c>
      <c r="AZ13">
        <f>'2 Resident Population'!AZ24</f>
        <v>5.8999999999999999E-3</v>
      </c>
      <c r="BA13">
        <f>'2 Resident Population'!BA24</f>
        <v>0</v>
      </c>
      <c r="BB13">
        <f>'2 Resident Population'!BB24</f>
        <v>0</v>
      </c>
      <c r="BC13">
        <f>'2 Resident Population'!BC24</f>
        <v>0</v>
      </c>
      <c r="BD13">
        <f>'2 Resident Population'!BD24</f>
        <v>0</v>
      </c>
      <c r="BE13">
        <f>'2 Resident Population'!BE24</f>
        <v>0</v>
      </c>
      <c r="BF13">
        <f>'2 Resident Population'!BF24</f>
        <v>0</v>
      </c>
      <c r="BG13">
        <f>'2 Resident Population'!BG24</f>
        <v>0</v>
      </c>
      <c r="BH13">
        <f>'2 Resident Population'!BH24</f>
        <v>0</v>
      </c>
      <c r="BI13">
        <f>'2 Resident Population'!BI24</f>
        <v>0</v>
      </c>
      <c r="BJ13">
        <f>'2 Resident Population'!BJ24</f>
        <v>0</v>
      </c>
      <c r="BK13">
        <f>'2 Resident Population'!BK24</f>
        <v>0</v>
      </c>
      <c r="BL13">
        <f>'2 Resident Population'!BL24</f>
        <v>0</v>
      </c>
      <c r="BM13">
        <f>'2 Resident Population'!BM24</f>
        <v>0</v>
      </c>
      <c r="BN13">
        <f>'2 Resident Population'!BN24</f>
        <v>0</v>
      </c>
      <c r="BO13">
        <f>'2 Resident Population'!BO24</f>
        <v>0</v>
      </c>
      <c r="BP13">
        <f>'2 Resident Population'!BP24</f>
        <v>0</v>
      </c>
      <c r="BQ13">
        <f>'2 Resident Population'!BQ24</f>
        <v>0</v>
      </c>
      <c r="BR13">
        <f>'2 Resident Population'!BR24</f>
        <v>0</v>
      </c>
      <c r="BS13">
        <f>'2 Resident Population'!BS24</f>
        <v>0</v>
      </c>
      <c r="BT13">
        <f>'2 Resident Population'!BT24</f>
        <v>0</v>
      </c>
      <c r="BU13">
        <f>'2 Resident Population'!BU24</f>
        <v>0</v>
      </c>
      <c r="BV13">
        <f>'2 Resident Population'!BV24</f>
        <v>0</v>
      </c>
      <c r="BW13">
        <f>'2 Resident Population'!BW24</f>
        <v>0</v>
      </c>
      <c r="BX13">
        <f>'2 Resident Population'!BX24</f>
        <v>0</v>
      </c>
      <c r="BY13">
        <f>'2 Resident Population'!BY24</f>
        <v>0</v>
      </c>
      <c r="BZ13">
        <f>'2 Resident Population'!BZ24</f>
        <v>0</v>
      </c>
      <c r="CA13">
        <f>'2 Resident Population'!CA24</f>
        <v>0</v>
      </c>
      <c r="CB13">
        <f>'2 Resident Population'!CB24</f>
        <v>0</v>
      </c>
      <c r="CC13">
        <f>'2 Resident Population'!CC24</f>
        <v>0</v>
      </c>
      <c r="CD13">
        <f>'2 Resident Population'!CD24</f>
        <v>0</v>
      </c>
      <c r="CE13">
        <f>'2 Resident Population'!CE24</f>
        <v>0</v>
      </c>
      <c r="CF13">
        <f>'2 Resident Population'!CF24</f>
        <v>0</v>
      </c>
      <c r="CG13">
        <f>'2 Resident Population'!CG24</f>
        <v>0</v>
      </c>
      <c r="CH13">
        <f>'2 Resident Population'!CH24</f>
        <v>0</v>
      </c>
      <c r="CI13">
        <f>'2 Resident Population'!CI24</f>
        <v>0</v>
      </c>
      <c r="CJ13">
        <f>'2 Resident Population'!CJ24</f>
        <v>0</v>
      </c>
      <c r="CK13">
        <f>'2 Resident Population'!CK24</f>
        <v>0</v>
      </c>
      <c r="CL13">
        <f>'2 Resident Population'!CL24</f>
        <v>0</v>
      </c>
      <c r="CM13">
        <f>'2 Resident Population'!CM24</f>
        <v>0</v>
      </c>
      <c r="CN13">
        <f>'2 Resident Population'!CN24</f>
        <v>0</v>
      </c>
      <c r="CO13">
        <f>'2 Resident Population'!CO24</f>
        <v>0</v>
      </c>
      <c r="CP13">
        <f>'2 Resident Population'!CP24</f>
        <v>0</v>
      </c>
      <c r="CQ13">
        <f>'2 Resident Population'!CQ24</f>
        <v>0</v>
      </c>
      <c r="CR13">
        <f>'2 Resident Population'!CR24</f>
        <v>0</v>
      </c>
      <c r="CS13">
        <f>'2 Resident Population'!CS24</f>
        <v>0</v>
      </c>
      <c r="CT13">
        <f>'2 Resident Population'!CT24</f>
        <v>0</v>
      </c>
      <c r="CU13">
        <f>'2 Resident Population'!CU24</f>
        <v>0</v>
      </c>
      <c r="CV13">
        <f>'2 Resident Population'!CV24</f>
        <v>0</v>
      </c>
      <c r="CW13">
        <f>'2 Resident Population'!CW24</f>
        <v>0</v>
      </c>
      <c r="CX13">
        <f>'2 Resident Population'!CX24</f>
        <v>0</v>
      </c>
      <c r="CY13">
        <f>'2 Resident Population'!CY24</f>
        <v>0</v>
      </c>
    </row>
    <row r="14" spans="1:103" x14ac:dyDescent="0.45">
      <c r="A14" t="str">
        <f>_xlfn.CONCAT('2 Resident Population'!B1,".",'2 Resident Population'!A25)</f>
        <v>Resident Population.net migration rate[Chinese, female, age]</v>
      </c>
      <c r="B14">
        <f>'2 Resident Population'!B25</f>
        <v>0</v>
      </c>
      <c r="C14">
        <f>'2 Resident Population'!C25</f>
        <v>5.8999999999999999E-3</v>
      </c>
      <c r="D14">
        <f>'2 Resident Population'!D25</f>
        <v>5.8999999999999999E-3</v>
      </c>
      <c r="E14">
        <f>'2 Resident Population'!E25</f>
        <v>5.8999999999999999E-3</v>
      </c>
      <c r="F14">
        <f>'2 Resident Population'!F25</f>
        <v>5.8999999999999999E-3</v>
      </c>
      <c r="G14">
        <f>'2 Resident Population'!G25</f>
        <v>5.8999999999999999E-3</v>
      </c>
      <c r="H14">
        <f>'2 Resident Population'!H25</f>
        <v>5.8999999999999999E-3</v>
      </c>
      <c r="I14">
        <f>'2 Resident Population'!I25</f>
        <v>5.8999999999999999E-3</v>
      </c>
      <c r="J14">
        <f>'2 Resident Population'!J25</f>
        <v>5.8999999999999999E-3</v>
      </c>
      <c r="K14">
        <f>'2 Resident Population'!K25</f>
        <v>5.8999999999999999E-3</v>
      </c>
      <c r="L14">
        <f>'2 Resident Population'!L25</f>
        <v>5.8999999999999999E-3</v>
      </c>
      <c r="M14">
        <f>'2 Resident Population'!M25</f>
        <v>5.8999999999999999E-3</v>
      </c>
      <c r="N14">
        <f>'2 Resident Population'!N25</f>
        <v>5.8999999999999999E-3</v>
      </c>
      <c r="O14">
        <f>'2 Resident Population'!O25</f>
        <v>5.8999999999999999E-3</v>
      </c>
      <c r="P14">
        <f>'2 Resident Population'!P25</f>
        <v>5.8999999999999999E-3</v>
      </c>
      <c r="Q14">
        <f>'2 Resident Population'!Q25</f>
        <v>5.8999999999999999E-3</v>
      </c>
      <c r="R14">
        <f>'2 Resident Population'!R25</f>
        <v>5.8999999999999999E-3</v>
      </c>
      <c r="S14">
        <f>'2 Resident Population'!S25</f>
        <v>5.8999999999999999E-3</v>
      </c>
      <c r="T14">
        <f>'2 Resident Population'!T25</f>
        <v>5.8999999999999999E-3</v>
      </c>
      <c r="U14">
        <f>'2 Resident Population'!U25</f>
        <v>5.8999999999999999E-3</v>
      </c>
      <c r="V14">
        <f>'2 Resident Population'!V25</f>
        <v>5.8999999999999999E-3</v>
      </c>
      <c r="W14">
        <f>'2 Resident Population'!W25</f>
        <v>5.8999999999999999E-3</v>
      </c>
      <c r="X14">
        <f>'2 Resident Population'!X25</f>
        <v>5.8999999999999999E-3</v>
      </c>
      <c r="Y14">
        <f>'2 Resident Population'!Y25</f>
        <v>5.8999999999999999E-3</v>
      </c>
      <c r="Z14">
        <f>'2 Resident Population'!Z25</f>
        <v>5.8999999999999999E-3</v>
      </c>
      <c r="AA14">
        <f>'2 Resident Population'!AA25</f>
        <v>5.8999999999999999E-3</v>
      </c>
      <c r="AB14">
        <f>'2 Resident Population'!AB25</f>
        <v>5.8999999999999999E-3</v>
      </c>
      <c r="AC14">
        <f>'2 Resident Population'!AC25</f>
        <v>5.8999999999999999E-3</v>
      </c>
      <c r="AD14">
        <f>'2 Resident Population'!AD25</f>
        <v>5.8999999999999999E-3</v>
      </c>
      <c r="AE14">
        <f>'2 Resident Population'!AE25</f>
        <v>5.8999999999999999E-3</v>
      </c>
      <c r="AF14">
        <f>'2 Resident Population'!AF25</f>
        <v>5.8999999999999999E-3</v>
      </c>
      <c r="AG14">
        <f>'2 Resident Population'!AG25</f>
        <v>5.8999999999999999E-3</v>
      </c>
      <c r="AH14">
        <f>'2 Resident Population'!AH25</f>
        <v>5.8999999999999999E-3</v>
      </c>
      <c r="AI14">
        <f>'2 Resident Population'!AI25</f>
        <v>5.8999999999999999E-3</v>
      </c>
      <c r="AJ14">
        <f>'2 Resident Population'!AJ25</f>
        <v>5.8999999999999999E-3</v>
      </c>
      <c r="AK14">
        <f>'2 Resident Population'!AK25</f>
        <v>5.8999999999999999E-3</v>
      </c>
      <c r="AL14">
        <f>'2 Resident Population'!AL25</f>
        <v>5.8999999999999999E-3</v>
      </c>
      <c r="AM14">
        <f>'2 Resident Population'!AM25</f>
        <v>5.8999999999999999E-3</v>
      </c>
      <c r="AN14">
        <f>'2 Resident Population'!AN25</f>
        <v>5.8999999999999999E-3</v>
      </c>
      <c r="AO14">
        <f>'2 Resident Population'!AO25</f>
        <v>5.8999999999999999E-3</v>
      </c>
      <c r="AP14">
        <f>'2 Resident Population'!AP25</f>
        <v>5.8999999999999999E-3</v>
      </c>
      <c r="AQ14">
        <f>'2 Resident Population'!AQ25</f>
        <v>5.8999999999999999E-3</v>
      </c>
      <c r="AR14">
        <f>'2 Resident Population'!AR25</f>
        <v>5.8999999999999999E-3</v>
      </c>
      <c r="AS14">
        <f>'2 Resident Population'!AS25</f>
        <v>5.8999999999999999E-3</v>
      </c>
      <c r="AT14">
        <f>'2 Resident Population'!AT25</f>
        <v>5.8999999999999999E-3</v>
      </c>
      <c r="AU14">
        <f>'2 Resident Population'!AU25</f>
        <v>5.8999999999999999E-3</v>
      </c>
      <c r="AV14">
        <f>'2 Resident Population'!AV25</f>
        <v>5.8999999999999999E-3</v>
      </c>
      <c r="AW14">
        <f>'2 Resident Population'!AW25</f>
        <v>5.8999999999999999E-3</v>
      </c>
      <c r="AX14">
        <f>'2 Resident Population'!AX25</f>
        <v>5.8999999999999999E-3</v>
      </c>
      <c r="AY14">
        <f>'2 Resident Population'!AY25</f>
        <v>5.8999999999999999E-3</v>
      </c>
      <c r="AZ14">
        <f>'2 Resident Population'!AZ25</f>
        <v>5.8999999999999999E-3</v>
      </c>
      <c r="BA14">
        <f>'2 Resident Population'!BA25</f>
        <v>0</v>
      </c>
      <c r="BB14">
        <f>'2 Resident Population'!BB25</f>
        <v>0</v>
      </c>
      <c r="BC14">
        <f>'2 Resident Population'!BC25</f>
        <v>0</v>
      </c>
      <c r="BD14">
        <f>'2 Resident Population'!BD25</f>
        <v>0</v>
      </c>
      <c r="BE14">
        <f>'2 Resident Population'!BE25</f>
        <v>0</v>
      </c>
      <c r="BF14">
        <f>'2 Resident Population'!BF25</f>
        <v>0</v>
      </c>
      <c r="BG14">
        <f>'2 Resident Population'!BG25</f>
        <v>0</v>
      </c>
      <c r="BH14">
        <f>'2 Resident Population'!BH25</f>
        <v>0</v>
      </c>
      <c r="BI14">
        <f>'2 Resident Population'!BI25</f>
        <v>0</v>
      </c>
      <c r="BJ14">
        <f>'2 Resident Population'!BJ25</f>
        <v>0</v>
      </c>
      <c r="BK14">
        <f>'2 Resident Population'!BK25</f>
        <v>0</v>
      </c>
      <c r="BL14">
        <f>'2 Resident Population'!BL25</f>
        <v>0</v>
      </c>
      <c r="BM14">
        <f>'2 Resident Population'!BM25</f>
        <v>0</v>
      </c>
      <c r="BN14">
        <f>'2 Resident Population'!BN25</f>
        <v>0</v>
      </c>
      <c r="BO14">
        <f>'2 Resident Population'!BO25</f>
        <v>0</v>
      </c>
      <c r="BP14">
        <f>'2 Resident Population'!BP25</f>
        <v>0</v>
      </c>
      <c r="BQ14">
        <f>'2 Resident Population'!BQ25</f>
        <v>0</v>
      </c>
      <c r="BR14">
        <f>'2 Resident Population'!BR25</f>
        <v>0</v>
      </c>
      <c r="BS14">
        <f>'2 Resident Population'!BS25</f>
        <v>0</v>
      </c>
      <c r="BT14">
        <f>'2 Resident Population'!BT25</f>
        <v>0</v>
      </c>
      <c r="BU14">
        <f>'2 Resident Population'!BU25</f>
        <v>0</v>
      </c>
      <c r="BV14">
        <f>'2 Resident Population'!BV25</f>
        <v>0</v>
      </c>
      <c r="BW14">
        <f>'2 Resident Population'!BW25</f>
        <v>0</v>
      </c>
      <c r="BX14">
        <f>'2 Resident Population'!BX25</f>
        <v>0</v>
      </c>
      <c r="BY14">
        <f>'2 Resident Population'!BY25</f>
        <v>0</v>
      </c>
      <c r="BZ14">
        <f>'2 Resident Population'!BZ25</f>
        <v>0</v>
      </c>
      <c r="CA14">
        <f>'2 Resident Population'!CA25</f>
        <v>0</v>
      </c>
      <c r="CB14">
        <f>'2 Resident Population'!CB25</f>
        <v>0</v>
      </c>
      <c r="CC14">
        <f>'2 Resident Population'!CC25</f>
        <v>0</v>
      </c>
      <c r="CD14">
        <f>'2 Resident Population'!CD25</f>
        <v>0</v>
      </c>
      <c r="CE14">
        <f>'2 Resident Population'!CE25</f>
        <v>0</v>
      </c>
      <c r="CF14">
        <f>'2 Resident Population'!CF25</f>
        <v>0</v>
      </c>
      <c r="CG14">
        <f>'2 Resident Population'!CG25</f>
        <v>0</v>
      </c>
      <c r="CH14">
        <f>'2 Resident Population'!CH25</f>
        <v>0</v>
      </c>
      <c r="CI14">
        <f>'2 Resident Population'!CI25</f>
        <v>0</v>
      </c>
      <c r="CJ14">
        <f>'2 Resident Population'!CJ25</f>
        <v>0</v>
      </c>
      <c r="CK14">
        <f>'2 Resident Population'!CK25</f>
        <v>0</v>
      </c>
      <c r="CL14">
        <f>'2 Resident Population'!CL25</f>
        <v>0</v>
      </c>
      <c r="CM14">
        <f>'2 Resident Population'!CM25</f>
        <v>0</v>
      </c>
      <c r="CN14">
        <f>'2 Resident Population'!CN25</f>
        <v>0</v>
      </c>
      <c r="CO14">
        <f>'2 Resident Population'!CO25</f>
        <v>0</v>
      </c>
      <c r="CP14">
        <f>'2 Resident Population'!CP25</f>
        <v>0</v>
      </c>
      <c r="CQ14">
        <f>'2 Resident Population'!CQ25</f>
        <v>0</v>
      </c>
      <c r="CR14">
        <f>'2 Resident Population'!CR25</f>
        <v>0</v>
      </c>
      <c r="CS14">
        <f>'2 Resident Population'!CS25</f>
        <v>0</v>
      </c>
      <c r="CT14">
        <f>'2 Resident Population'!CT25</f>
        <v>0</v>
      </c>
      <c r="CU14">
        <f>'2 Resident Population'!CU25</f>
        <v>0</v>
      </c>
      <c r="CV14">
        <f>'2 Resident Population'!CV25</f>
        <v>0</v>
      </c>
      <c r="CW14">
        <f>'2 Resident Population'!CW25</f>
        <v>0</v>
      </c>
      <c r="CX14">
        <f>'2 Resident Population'!CX25</f>
        <v>0</v>
      </c>
      <c r="CY14">
        <f>'2 Resident Population'!CY25</f>
        <v>0</v>
      </c>
    </row>
    <row r="15" spans="1:103" x14ac:dyDescent="0.45">
      <c r="A15" t="str">
        <f>_xlfn.CONCAT('2 Resident Population'!B1,".",'2 Resident Population'!A26)</f>
        <v>Resident Population.net migration rate[Malay, male, age]</v>
      </c>
      <c r="B15">
        <f>'2 Resident Population'!B26</f>
        <v>0</v>
      </c>
      <c r="C15">
        <f>'2 Resident Population'!C26</f>
        <v>5.8999999999999999E-3</v>
      </c>
      <c r="D15">
        <f>'2 Resident Population'!D26</f>
        <v>5.8999999999999999E-3</v>
      </c>
      <c r="E15">
        <f>'2 Resident Population'!E26</f>
        <v>5.8999999999999999E-3</v>
      </c>
      <c r="F15">
        <f>'2 Resident Population'!F26</f>
        <v>5.8999999999999999E-3</v>
      </c>
      <c r="G15">
        <f>'2 Resident Population'!G26</f>
        <v>5.8999999999999999E-3</v>
      </c>
      <c r="H15">
        <f>'2 Resident Population'!H26</f>
        <v>5.8999999999999999E-3</v>
      </c>
      <c r="I15">
        <f>'2 Resident Population'!I26</f>
        <v>5.8999999999999999E-3</v>
      </c>
      <c r="J15">
        <f>'2 Resident Population'!J26</f>
        <v>5.8999999999999999E-3</v>
      </c>
      <c r="K15">
        <f>'2 Resident Population'!K26</f>
        <v>5.8999999999999999E-3</v>
      </c>
      <c r="L15">
        <f>'2 Resident Population'!L26</f>
        <v>5.8999999999999999E-3</v>
      </c>
      <c r="M15">
        <f>'2 Resident Population'!M26</f>
        <v>5.8999999999999999E-3</v>
      </c>
      <c r="N15">
        <f>'2 Resident Population'!N26</f>
        <v>5.8999999999999999E-3</v>
      </c>
      <c r="O15">
        <f>'2 Resident Population'!O26</f>
        <v>5.8999999999999999E-3</v>
      </c>
      <c r="P15">
        <f>'2 Resident Population'!P26</f>
        <v>5.8999999999999999E-3</v>
      </c>
      <c r="Q15">
        <f>'2 Resident Population'!Q26</f>
        <v>5.8999999999999999E-3</v>
      </c>
      <c r="R15">
        <f>'2 Resident Population'!R26</f>
        <v>5.8999999999999999E-3</v>
      </c>
      <c r="S15">
        <f>'2 Resident Population'!S26</f>
        <v>5.8999999999999999E-3</v>
      </c>
      <c r="T15">
        <f>'2 Resident Population'!T26</f>
        <v>5.8999999999999999E-3</v>
      </c>
      <c r="U15">
        <f>'2 Resident Population'!U26</f>
        <v>5.8999999999999999E-3</v>
      </c>
      <c r="V15">
        <f>'2 Resident Population'!V26</f>
        <v>5.8999999999999999E-3</v>
      </c>
      <c r="W15">
        <f>'2 Resident Population'!W26</f>
        <v>5.8999999999999999E-3</v>
      </c>
      <c r="X15">
        <f>'2 Resident Population'!X26</f>
        <v>5.8999999999999999E-3</v>
      </c>
      <c r="Y15">
        <f>'2 Resident Population'!Y26</f>
        <v>5.8999999999999999E-3</v>
      </c>
      <c r="Z15">
        <f>'2 Resident Population'!Z26</f>
        <v>5.8999999999999999E-3</v>
      </c>
      <c r="AA15">
        <f>'2 Resident Population'!AA26</f>
        <v>5.8999999999999999E-3</v>
      </c>
      <c r="AB15">
        <f>'2 Resident Population'!AB26</f>
        <v>5.8999999999999999E-3</v>
      </c>
      <c r="AC15">
        <f>'2 Resident Population'!AC26</f>
        <v>5.8999999999999999E-3</v>
      </c>
      <c r="AD15">
        <f>'2 Resident Population'!AD26</f>
        <v>5.8999999999999999E-3</v>
      </c>
      <c r="AE15">
        <f>'2 Resident Population'!AE26</f>
        <v>5.8999999999999999E-3</v>
      </c>
      <c r="AF15">
        <f>'2 Resident Population'!AF26</f>
        <v>5.8999999999999999E-3</v>
      </c>
      <c r="AG15">
        <f>'2 Resident Population'!AG26</f>
        <v>5.8999999999999999E-3</v>
      </c>
      <c r="AH15">
        <f>'2 Resident Population'!AH26</f>
        <v>5.8999999999999999E-3</v>
      </c>
      <c r="AI15">
        <f>'2 Resident Population'!AI26</f>
        <v>5.8999999999999999E-3</v>
      </c>
      <c r="AJ15">
        <f>'2 Resident Population'!AJ26</f>
        <v>5.8999999999999999E-3</v>
      </c>
      <c r="AK15">
        <f>'2 Resident Population'!AK26</f>
        <v>5.8999999999999999E-3</v>
      </c>
      <c r="AL15">
        <f>'2 Resident Population'!AL26</f>
        <v>5.8999999999999999E-3</v>
      </c>
      <c r="AM15">
        <f>'2 Resident Population'!AM26</f>
        <v>5.8999999999999999E-3</v>
      </c>
      <c r="AN15">
        <f>'2 Resident Population'!AN26</f>
        <v>5.8999999999999999E-3</v>
      </c>
      <c r="AO15">
        <f>'2 Resident Population'!AO26</f>
        <v>5.8999999999999999E-3</v>
      </c>
      <c r="AP15">
        <f>'2 Resident Population'!AP26</f>
        <v>5.8999999999999999E-3</v>
      </c>
      <c r="AQ15">
        <f>'2 Resident Population'!AQ26</f>
        <v>5.8999999999999999E-3</v>
      </c>
      <c r="AR15">
        <f>'2 Resident Population'!AR26</f>
        <v>5.8999999999999999E-3</v>
      </c>
      <c r="AS15">
        <f>'2 Resident Population'!AS26</f>
        <v>5.8999999999999999E-3</v>
      </c>
      <c r="AT15">
        <f>'2 Resident Population'!AT26</f>
        <v>5.8999999999999999E-3</v>
      </c>
      <c r="AU15">
        <f>'2 Resident Population'!AU26</f>
        <v>5.8999999999999999E-3</v>
      </c>
      <c r="AV15">
        <f>'2 Resident Population'!AV26</f>
        <v>5.8999999999999999E-3</v>
      </c>
      <c r="AW15">
        <f>'2 Resident Population'!AW26</f>
        <v>5.8999999999999999E-3</v>
      </c>
      <c r="AX15">
        <f>'2 Resident Population'!AX26</f>
        <v>5.8999999999999999E-3</v>
      </c>
      <c r="AY15">
        <f>'2 Resident Population'!AY26</f>
        <v>5.8999999999999999E-3</v>
      </c>
      <c r="AZ15">
        <f>'2 Resident Population'!AZ26</f>
        <v>5.8999999999999999E-3</v>
      </c>
      <c r="BA15">
        <f>'2 Resident Population'!BA26</f>
        <v>0</v>
      </c>
      <c r="BB15">
        <f>'2 Resident Population'!BB26</f>
        <v>0</v>
      </c>
      <c r="BC15">
        <f>'2 Resident Population'!BC26</f>
        <v>0</v>
      </c>
      <c r="BD15">
        <f>'2 Resident Population'!BD26</f>
        <v>0</v>
      </c>
      <c r="BE15">
        <f>'2 Resident Population'!BE26</f>
        <v>0</v>
      </c>
      <c r="BF15">
        <f>'2 Resident Population'!BF26</f>
        <v>0</v>
      </c>
      <c r="BG15">
        <f>'2 Resident Population'!BG26</f>
        <v>0</v>
      </c>
      <c r="BH15">
        <f>'2 Resident Population'!BH26</f>
        <v>0</v>
      </c>
      <c r="BI15">
        <f>'2 Resident Population'!BI26</f>
        <v>0</v>
      </c>
      <c r="BJ15">
        <f>'2 Resident Population'!BJ26</f>
        <v>0</v>
      </c>
      <c r="BK15">
        <f>'2 Resident Population'!BK26</f>
        <v>0</v>
      </c>
      <c r="BL15">
        <f>'2 Resident Population'!BL26</f>
        <v>0</v>
      </c>
      <c r="BM15">
        <f>'2 Resident Population'!BM26</f>
        <v>0</v>
      </c>
      <c r="BN15">
        <f>'2 Resident Population'!BN26</f>
        <v>0</v>
      </c>
      <c r="BO15">
        <f>'2 Resident Population'!BO26</f>
        <v>0</v>
      </c>
      <c r="BP15">
        <f>'2 Resident Population'!BP26</f>
        <v>0</v>
      </c>
      <c r="BQ15">
        <f>'2 Resident Population'!BQ26</f>
        <v>0</v>
      </c>
      <c r="BR15">
        <f>'2 Resident Population'!BR26</f>
        <v>0</v>
      </c>
      <c r="BS15">
        <f>'2 Resident Population'!BS26</f>
        <v>0</v>
      </c>
      <c r="BT15">
        <f>'2 Resident Population'!BT26</f>
        <v>0</v>
      </c>
      <c r="BU15">
        <f>'2 Resident Population'!BU26</f>
        <v>0</v>
      </c>
      <c r="BV15">
        <f>'2 Resident Population'!BV26</f>
        <v>0</v>
      </c>
      <c r="BW15">
        <f>'2 Resident Population'!BW26</f>
        <v>0</v>
      </c>
      <c r="BX15">
        <f>'2 Resident Population'!BX26</f>
        <v>0</v>
      </c>
      <c r="BY15">
        <f>'2 Resident Population'!BY26</f>
        <v>0</v>
      </c>
      <c r="BZ15">
        <f>'2 Resident Population'!BZ26</f>
        <v>0</v>
      </c>
      <c r="CA15">
        <f>'2 Resident Population'!CA26</f>
        <v>0</v>
      </c>
      <c r="CB15">
        <f>'2 Resident Population'!CB26</f>
        <v>0</v>
      </c>
      <c r="CC15">
        <f>'2 Resident Population'!CC26</f>
        <v>0</v>
      </c>
      <c r="CD15">
        <f>'2 Resident Population'!CD26</f>
        <v>0</v>
      </c>
      <c r="CE15">
        <f>'2 Resident Population'!CE26</f>
        <v>0</v>
      </c>
      <c r="CF15">
        <f>'2 Resident Population'!CF26</f>
        <v>0</v>
      </c>
      <c r="CG15">
        <f>'2 Resident Population'!CG26</f>
        <v>0</v>
      </c>
      <c r="CH15">
        <f>'2 Resident Population'!CH26</f>
        <v>0</v>
      </c>
      <c r="CI15">
        <f>'2 Resident Population'!CI26</f>
        <v>0</v>
      </c>
      <c r="CJ15">
        <f>'2 Resident Population'!CJ26</f>
        <v>0</v>
      </c>
      <c r="CK15">
        <f>'2 Resident Population'!CK26</f>
        <v>0</v>
      </c>
      <c r="CL15">
        <f>'2 Resident Population'!CL26</f>
        <v>0</v>
      </c>
      <c r="CM15">
        <f>'2 Resident Population'!CM26</f>
        <v>0</v>
      </c>
      <c r="CN15">
        <f>'2 Resident Population'!CN26</f>
        <v>0</v>
      </c>
      <c r="CO15">
        <f>'2 Resident Population'!CO26</f>
        <v>0</v>
      </c>
      <c r="CP15">
        <f>'2 Resident Population'!CP26</f>
        <v>0</v>
      </c>
      <c r="CQ15">
        <f>'2 Resident Population'!CQ26</f>
        <v>0</v>
      </c>
      <c r="CR15">
        <f>'2 Resident Population'!CR26</f>
        <v>0</v>
      </c>
      <c r="CS15">
        <f>'2 Resident Population'!CS26</f>
        <v>0</v>
      </c>
      <c r="CT15">
        <f>'2 Resident Population'!CT26</f>
        <v>0</v>
      </c>
      <c r="CU15">
        <f>'2 Resident Population'!CU26</f>
        <v>0</v>
      </c>
      <c r="CV15">
        <f>'2 Resident Population'!CV26</f>
        <v>0</v>
      </c>
      <c r="CW15">
        <f>'2 Resident Population'!CW26</f>
        <v>0</v>
      </c>
      <c r="CX15">
        <f>'2 Resident Population'!CX26</f>
        <v>0</v>
      </c>
      <c r="CY15">
        <f>'2 Resident Population'!CY26</f>
        <v>0</v>
      </c>
    </row>
    <row r="16" spans="1:103" x14ac:dyDescent="0.45">
      <c r="A16" t="str">
        <f>_xlfn.CONCAT('2 Resident Population'!B1,".",'2 Resident Population'!A27)</f>
        <v>Resident Population.net migration rate[Malay, female, age]</v>
      </c>
      <c r="B16">
        <f>'2 Resident Population'!B27</f>
        <v>0</v>
      </c>
      <c r="C16">
        <f>'2 Resident Population'!C27</f>
        <v>5.8999999999999999E-3</v>
      </c>
      <c r="D16">
        <f>'2 Resident Population'!D27</f>
        <v>5.8999999999999999E-3</v>
      </c>
      <c r="E16">
        <f>'2 Resident Population'!E27</f>
        <v>5.8999999999999999E-3</v>
      </c>
      <c r="F16">
        <f>'2 Resident Population'!F27</f>
        <v>5.8999999999999999E-3</v>
      </c>
      <c r="G16">
        <f>'2 Resident Population'!G27</f>
        <v>5.8999999999999999E-3</v>
      </c>
      <c r="H16">
        <f>'2 Resident Population'!H27</f>
        <v>5.8999999999999999E-3</v>
      </c>
      <c r="I16">
        <f>'2 Resident Population'!I27</f>
        <v>5.8999999999999999E-3</v>
      </c>
      <c r="J16">
        <f>'2 Resident Population'!J27</f>
        <v>5.8999999999999999E-3</v>
      </c>
      <c r="K16">
        <f>'2 Resident Population'!K27</f>
        <v>5.8999999999999999E-3</v>
      </c>
      <c r="L16">
        <f>'2 Resident Population'!L27</f>
        <v>5.8999999999999999E-3</v>
      </c>
      <c r="M16">
        <f>'2 Resident Population'!M27</f>
        <v>5.8999999999999999E-3</v>
      </c>
      <c r="N16">
        <f>'2 Resident Population'!N27</f>
        <v>5.8999999999999999E-3</v>
      </c>
      <c r="O16">
        <f>'2 Resident Population'!O27</f>
        <v>5.8999999999999999E-3</v>
      </c>
      <c r="P16">
        <f>'2 Resident Population'!P27</f>
        <v>5.8999999999999999E-3</v>
      </c>
      <c r="Q16">
        <f>'2 Resident Population'!Q27</f>
        <v>5.8999999999999999E-3</v>
      </c>
      <c r="R16">
        <f>'2 Resident Population'!R27</f>
        <v>5.8999999999999999E-3</v>
      </c>
      <c r="S16">
        <f>'2 Resident Population'!S27</f>
        <v>5.8999999999999999E-3</v>
      </c>
      <c r="T16">
        <f>'2 Resident Population'!T27</f>
        <v>5.8999999999999999E-3</v>
      </c>
      <c r="U16">
        <f>'2 Resident Population'!U27</f>
        <v>5.8999999999999999E-3</v>
      </c>
      <c r="V16">
        <f>'2 Resident Population'!V27</f>
        <v>5.8999999999999999E-3</v>
      </c>
      <c r="W16">
        <f>'2 Resident Population'!W27</f>
        <v>5.8999999999999999E-3</v>
      </c>
      <c r="X16">
        <f>'2 Resident Population'!X27</f>
        <v>5.8999999999999999E-3</v>
      </c>
      <c r="Y16">
        <f>'2 Resident Population'!Y27</f>
        <v>5.8999999999999999E-3</v>
      </c>
      <c r="Z16">
        <f>'2 Resident Population'!Z27</f>
        <v>5.8999999999999999E-3</v>
      </c>
      <c r="AA16">
        <f>'2 Resident Population'!AA27</f>
        <v>5.8999999999999999E-3</v>
      </c>
      <c r="AB16">
        <f>'2 Resident Population'!AB27</f>
        <v>5.8999999999999999E-3</v>
      </c>
      <c r="AC16">
        <f>'2 Resident Population'!AC27</f>
        <v>5.8999999999999999E-3</v>
      </c>
      <c r="AD16">
        <f>'2 Resident Population'!AD27</f>
        <v>5.8999999999999999E-3</v>
      </c>
      <c r="AE16">
        <f>'2 Resident Population'!AE27</f>
        <v>5.8999999999999999E-3</v>
      </c>
      <c r="AF16">
        <f>'2 Resident Population'!AF27</f>
        <v>5.8999999999999999E-3</v>
      </c>
      <c r="AG16">
        <f>'2 Resident Population'!AG27</f>
        <v>5.8999999999999999E-3</v>
      </c>
      <c r="AH16">
        <f>'2 Resident Population'!AH27</f>
        <v>5.8999999999999999E-3</v>
      </c>
      <c r="AI16">
        <f>'2 Resident Population'!AI27</f>
        <v>5.8999999999999999E-3</v>
      </c>
      <c r="AJ16">
        <f>'2 Resident Population'!AJ27</f>
        <v>5.8999999999999999E-3</v>
      </c>
      <c r="AK16">
        <f>'2 Resident Population'!AK27</f>
        <v>5.8999999999999999E-3</v>
      </c>
      <c r="AL16">
        <f>'2 Resident Population'!AL27</f>
        <v>5.8999999999999999E-3</v>
      </c>
      <c r="AM16">
        <f>'2 Resident Population'!AM27</f>
        <v>5.8999999999999999E-3</v>
      </c>
      <c r="AN16">
        <f>'2 Resident Population'!AN27</f>
        <v>5.8999999999999999E-3</v>
      </c>
      <c r="AO16">
        <f>'2 Resident Population'!AO27</f>
        <v>5.8999999999999999E-3</v>
      </c>
      <c r="AP16">
        <f>'2 Resident Population'!AP27</f>
        <v>5.8999999999999999E-3</v>
      </c>
      <c r="AQ16">
        <f>'2 Resident Population'!AQ27</f>
        <v>5.8999999999999999E-3</v>
      </c>
      <c r="AR16">
        <f>'2 Resident Population'!AR27</f>
        <v>5.8999999999999999E-3</v>
      </c>
      <c r="AS16">
        <f>'2 Resident Population'!AS27</f>
        <v>5.8999999999999999E-3</v>
      </c>
      <c r="AT16">
        <f>'2 Resident Population'!AT27</f>
        <v>5.8999999999999999E-3</v>
      </c>
      <c r="AU16">
        <f>'2 Resident Population'!AU27</f>
        <v>5.8999999999999999E-3</v>
      </c>
      <c r="AV16">
        <f>'2 Resident Population'!AV27</f>
        <v>5.8999999999999999E-3</v>
      </c>
      <c r="AW16">
        <f>'2 Resident Population'!AW27</f>
        <v>5.8999999999999999E-3</v>
      </c>
      <c r="AX16">
        <f>'2 Resident Population'!AX27</f>
        <v>5.8999999999999999E-3</v>
      </c>
      <c r="AY16">
        <f>'2 Resident Population'!AY27</f>
        <v>5.8999999999999999E-3</v>
      </c>
      <c r="AZ16">
        <f>'2 Resident Population'!AZ27</f>
        <v>5.8999999999999999E-3</v>
      </c>
      <c r="BA16">
        <f>'2 Resident Population'!BA27</f>
        <v>0</v>
      </c>
      <c r="BB16">
        <f>'2 Resident Population'!BB27</f>
        <v>0</v>
      </c>
      <c r="BC16">
        <f>'2 Resident Population'!BC27</f>
        <v>0</v>
      </c>
      <c r="BD16">
        <f>'2 Resident Population'!BD27</f>
        <v>0</v>
      </c>
      <c r="BE16">
        <f>'2 Resident Population'!BE27</f>
        <v>0</v>
      </c>
      <c r="BF16">
        <f>'2 Resident Population'!BF27</f>
        <v>0</v>
      </c>
      <c r="BG16">
        <f>'2 Resident Population'!BG27</f>
        <v>0</v>
      </c>
      <c r="BH16">
        <f>'2 Resident Population'!BH27</f>
        <v>0</v>
      </c>
      <c r="BI16">
        <f>'2 Resident Population'!BI27</f>
        <v>0</v>
      </c>
      <c r="BJ16">
        <f>'2 Resident Population'!BJ27</f>
        <v>0</v>
      </c>
      <c r="BK16">
        <f>'2 Resident Population'!BK27</f>
        <v>0</v>
      </c>
      <c r="BL16">
        <f>'2 Resident Population'!BL27</f>
        <v>0</v>
      </c>
      <c r="BM16">
        <f>'2 Resident Population'!BM27</f>
        <v>0</v>
      </c>
      <c r="BN16">
        <f>'2 Resident Population'!BN27</f>
        <v>0</v>
      </c>
      <c r="BO16">
        <f>'2 Resident Population'!BO27</f>
        <v>0</v>
      </c>
      <c r="BP16">
        <f>'2 Resident Population'!BP27</f>
        <v>0</v>
      </c>
      <c r="BQ16">
        <f>'2 Resident Population'!BQ27</f>
        <v>0</v>
      </c>
      <c r="BR16">
        <f>'2 Resident Population'!BR27</f>
        <v>0</v>
      </c>
      <c r="BS16">
        <f>'2 Resident Population'!BS27</f>
        <v>0</v>
      </c>
      <c r="BT16">
        <f>'2 Resident Population'!BT27</f>
        <v>0</v>
      </c>
      <c r="BU16">
        <f>'2 Resident Population'!BU27</f>
        <v>0</v>
      </c>
      <c r="BV16">
        <f>'2 Resident Population'!BV27</f>
        <v>0</v>
      </c>
      <c r="BW16">
        <f>'2 Resident Population'!BW27</f>
        <v>0</v>
      </c>
      <c r="BX16">
        <f>'2 Resident Population'!BX27</f>
        <v>0</v>
      </c>
      <c r="BY16">
        <f>'2 Resident Population'!BY27</f>
        <v>0</v>
      </c>
      <c r="BZ16">
        <f>'2 Resident Population'!BZ27</f>
        <v>0</v>
      </c>
      <c r="CA16">
        <f>'2 Resident Population'!CA27</f>
        <v>0</v>
      </c>
      <c r="CB16">
        <f>'2 Resident Population'!CB27</f>
        <v>0</v>
      </c>
      <c r="CC16">
        <f>'2 Resident Population'!CC27</f>
        <v>0</v>
      </c>
      <c r="CD16">
        <f>'2 Resident Population'!CD27</f>
        <v>0</v>
      </c>
      <c r="CE16">
        <f>'2 Resident Population'!CE27</f>
        <v>0</v>
      </c>
      <c r="CF16">
        <f>'2 Resident Population'!CF27</f>
        <v>0</v>
      </c>
      <c r="CG16">
        <f>'2 Resident Population'!CG27</f>
        <v>0</v>
      </c>
      <c r="CH16">
        <f>'2 Resident Population'!CH27</f>
        <v>0</v>
      </c>
      <c r="CI16">
        <f>'2 Resident Population'!CI27</f>
        <v>0</v>
      </c>
      <c r="CJ16">
        <f>'2 Resident Population'!CJ27</f>
        <v>0</v>
      </c>
      <c r="CK16">
        <f>'2 Resident Population'!CK27</f>
        <v>0</v>
      </c>
      <c r="CL16">
        <f>'2 Resident Population'!CL27</f>
        <v>0</v>
      </c>
      <c r="CM16">
        <f>'2 Resident Population'!CM27</f>
        <v>0</v>
      </c>
      <c r="CN16">
        <f>'2 Resident Population'!CN27</f>
        <v>0</v>
      </c>
      <c r="CO16">
        <f>'2 Resident Population'!CO27</f>
        <v>0</v>
      </c>
      <c r="CP16">
        <f>'2 Resident Population'!CP27</f>
        <v>0</v>
      </c>
      <c r="CQ16">
        <f>'2 Resident Population'!CQ27</f>
        <v>0</v>
      </c>
      <c r="CR16">
        <f>'2 Resident Population'!CR27</f>
        <v>0</v>
      </c>
      <c r="CS16">
        <f>'2 Resident Population'!CS27</f>
        <v>0</v>
      </c>
      <c r="CT16">
        <f>'2 Resident Population'!CT27</f>
        <v>0</v>
      </c>
      <c r="CU16">
        <f>'2 Resident Population'!CU27</f>
        <v>0</v>
      </c>
      <c r="CV16">
        <f>'2 Resident Population'!CV27</f>
        <v>0</v>
      </c>
      <c r="CW16">
        <f>'2 Resident Population'!CW27</f>
        <v>0</v>
      </c>
      <c r="CX16">
        <f>'2 Resident Population'!CX27</f>
        <v>0</v>
      </c>
      <c r="CY16">
        <f>'2 Resident Population'!CY27</f>
        <v>0</v>
      </c>
    </row>
    <row r="17" spans="1:103" x14ac:dyDescent="0.45">
      <c r="A17" t="str">
        <f>_xlfn.CONCAT('2 Resident Population'!B1,".",'2 Resident Population'!A28)</f>
        <v>Resident Population.net migration rate[Indian, male, age]</v>
      </c>
      <c r="B17">
        <f>'2 Resident Population'!B28</f>
        <v>0</v>
      </c>
      <c r="C17">
        <f>'2 Resident Population'!C28</f>
        <v>5.8999999999999999E-3</v>
      </c>
      <c r="D17">
        <f>'2 Resident Population'!D28</f>
        <v>5.8999999999999999E-3</v>
      </c>
      <c r="E17">
        <f>'2 Resident Population'!E28</f>
        <v>5.8999999999999999E-3</v>
      </c>
      <c r="F17">
        <f>'2 Resident Population'!F28</f>
        <v>5.8999999999999999E-3</v>
      </c>
      <c r="G17">
        <f>'2 Resident Population'!G28</f>
        <v>5.8999999999999999E-3</v>
      </c>
      <c r="H17">
        <f>'2 Resident Population'!H28</f>
        <v>5.8999999999999999E-3</v>
      </c>
      <c r="I17">
        <f>'2 Resident Population'!I28</f>
        <v>5.8999999999999999E-3</v>
      </c>
      <c r="J17">
        <f>'2 Resident Population'!J28</f>
        <v>5.8999999999999999E-3</v>
      </c>
      <c r="K17">
        <f>'2 Resident Population'!K28</f>
        <v>5.8999999999999999E-3</v>
      </c>
      <c r="L17">
        <f>'2 Resident Population'!L28</f>
        <v>5.8999999999999999E-3</v>
      </c>
      <c r="M17">
        <f>'2 Resident Population'!M28</f>
        <v>5.8999999999999999E-3</v>
      </c>
      <c r="N17">
        <f>'2 Resident Population'!N28</f>
        <v>5.8999999999999999E-3</v>
      </c>
      <c r="O17">
        <f>'2 Resident Population'!O28</f>
        <v>5.8999999999999999E-3</v>
      </c>
      <c r="P17">
        <f>'2 Resident Population'!P28</f>
        <v>5.8999999999999999E-3</v>
      </c>
      <c r="Q17">
        <f>'2 Resident Population'!Q28</f>
        <v>5.8999999999999999E-3</v>
      </c>
      <c r="R17">
        <f>'2 Resident Population'!R28</f>
        <v>5.8999999999999999E-3</v>
      </c>
      <c r="S17">
        <f>'2 Resident Population'!S28</f>
        <v>5.8999999999999999E-3</v>
      </c>
      <c r="T17">
        <f>'2 Resident Population'!T28</f>
        <v>5.8999999999999999E-3</v>
      </c>
      <c r="U17">
        <f>'2 Resident Population'!U28</f>
        <v>5.8999999999999999E-3</v>
      </c>
      <c r="V17">
        <f>'2 Resident Population'!V28</f>
        <v>5.8999999999999999E-3</v>
      </c>
      <c r="W17">
        <f>'2 Resident Population'!W28</f>
        <v>5.8999999999999999E-3</v>
      </c>
      <c r="X17">
        <f>'2 Resident Population'!X28</f>
        <v>5.8999999999999999E-3</v>
      </c>
      <c r="Y17">
        <f>'2 Resident Population'!Y28</f>
        <v>5.8999999999999999E-3</v>
      </c>
      <c r="Z17">
        <f>'2 Resident Population'!Z28</f>
        <v>5.8999999999999999E-3</v>
      </c>
      <c r="AA17">
        <f>'2 Resident Population'!AA28</f>
        <v>5.8999999999999999E-3</v>
      </c>
      <c r="AB17">
        <f>'2 Resident Population'!AB28</f>
        <v>5.8999999999999999E-3</v>
      </c>
      <c r="AC17">
        <f>'2 Resident Population'!AC28</f>
        <v>5.8999999999999999E-3</v>
      </c>
      <c r="AD17">
        <f>'2 Resident Population'!AD28</f>
        <v>5.8999999999999999E-3</v>
      </c>
      <c r="AE17">
        <f>'2 Resident Population'!AE28</f>
        <v>5.8999999999999999E-3</v>
      </c>
      <c r="AF17">
        <f>'2 Resident Population'!AF28</f>
        <v>5.8999999999999999E-3</v>
      </c>
      <c r="AG17">
        <f>'2 Resident Population'!AG28</f>
        <v>5.8999999999999999E-3</v>
      </c>
      <c r="AH17">
        <f>'2 Resident Population'!AH28</f>
        <v>5.8999999999999999E-3</v>
      </c>
      <c r="AI17">
        <f>'2 Resident Population'!AI28</f>
        <v>5.8999999999999999E-3</v>
      </c>
      <c r="AJ17">
        <f>'2 Resident Population'!AJ28</f>
        <v>5.8999999999999999E-3</v>
      </c>
      <c r="AK17">
        <f>'2 Resident Population'!AK28</f>
        <v>5.8999999999999999E-3</v>
      </c>
      <c r="AL17">
        <f>'2 Resident Population'!AL28</f>
        <v>5.8999999999999999E-3</v>
      </c>
      <c r="AM17">
        <f>'2 Resident Population'!AM28</f>
        <v>5.8999999999999999E-3</v>
      </c>
      <c r="AN17">
        <f>'2 Resident Population'!AN28</f>
        <v>5.8999999999999999E-3</v>
      </c>
      <c r="AO17">
        <f>'2 Resident Population'!AO28</f>
        <v>5.8999999999999999E-3</v>
      </c>
      <c r="AP17">
        <f>'2 Resident Population'!AP28</f>
        <v>5.8999999999999999E-3</v>
      </c>
      <c r="AQ17">
        <f>'2 Resident Population'!AQ28</f>
        <v>5.8999999999999999E-3</v>
      </c>
      <c r="AR17">
        <f>'2 Resident Population'!AR28</f>
        <v>5.8999999999999999E-3</v>
      </c>
      <c r="AS17">
        <f>'2 Resident Population'!AS28</f>
        <v>5.8999999999999999E-3</v>
      </c>
      <c r="AT17">
        <f>'2 Resident Population'!AT28</f>
        <v>5.8999999999999999E-3</v>
      </c>
      <c r="AU17">
        <f>'2 Resident Population'!AU28</f>
        <v>5.8999999999999999E-3</v>
      </c>
      <c r="AV17">
        <f>'2 Resident Population'!AV28</f>
        <v>5.8999999999999999E-3</v>
      </c>
      <c r="AW17">
        <f>'2 Resident Population'!AW28</f>
        <v>5.8999999999999999E-3</v>
      </c>
      <c r="AX17">
        <f>'2 Resident Population'!AX28</f>
        <v>5.8999999999999999E-3</v>
      </c>
      <c r="AY17">
        <f>'2 Resident Population'!AY28</f>
        <v>5.8999999999999999E-3</v>
      </c>
      <c r="AZ17">
        <f>'2 Resident Population'!AZ28</f>
        <v>5.8999999999999999E-3</v>
      </c>
      <c r="BA17">
        <f>'2 Resident Population'!BA28</f>
        <v>0</v>
      </c>
      <c r="BB17">
        <f>'2 Resident Population'!BB28</f>
        <v>0</v>
      </c>
      <c r="BC17">
        <f>'2 Resident Population'!BC28</f>
        <v>0</v>
      </c>
      <c r="BD17">
        <f>'2 Resident Population'!BD28</f>
        <v>0</v>
      </c>
      <c r="BE17">
        <f>'2 Resident Population'!BE28</f>
        <v>0</v>
      </c>
      <c r="BF17">
        <f>'2 Resident Population'!BF28</f>
        <v>0</v>
      </c>
      <c r="BG17">
        <f>'2 Resident Population'!BG28</f>
        <v>0</v>
      </c>
      <c r="BH17">
        <f>'2 Resident Population'!BH28</f>
        <v>0</v>
      </c>
      <c r="BI17">
        <f>'2 Resident Population'!BI28</f>
        <v>0</v>
      </c>
      <c r="BJ17">
        <f>'2 Resident Population'!BJ28</f>
        <v>0</v>
      </c>
      <c r="BK17">
        <f>'2 Resident Population'!BK28</f>
        <v>0</v>
      </c>
      <c r="BL17">
        <f>'2 Resident Population'!BL28</f>
        <v>0</v>
      </c>
      <c r="BM17">
        <f>'2 Resident Population'!BM28</f>
        <v>0</v>
      </c>
      <c r="BN17">
        <f>'2 Resident Population'!BN28</f>
        <v>0</v>
      </c>
      <c r="BO17">
        <f>'2 Resident Population'!BO28</f>
        <v>0</v>
      </c>
      <c r="BP17">
        <f>'2 Resident Population'!BP28</f>
        <v>0</v>
      </c>
      <c r="BQ17">
        <f>'2 Resident Population'!BQ28</f>
        <v>0</v>
      </c>
      <c r="BR17">
        <f>'2 Resident Population'!BR28</f>
        <v>0</v>
      </c>
      <c r="BS17">
        <f>'2 Resident Population'!BS28</f>
        <v>0</v>
      </c>
      <c r="BT17">
        <f>'2 Resident Population'!BT28</f>
        <v>0</v>
      </c>
      <c r="BU17">
        <f>'2 Resident Population'!BU28</f>
        <v>0</v>
      </c>
      <c r="BV17">
        <f>'2 Resident Population'!BV28</f>
        <v>0</v>
      </c>
      <c r="BW17">
        <f>'2 Resident Population'!BW28</f>
        <v>0</v>
      </c>
      <c r="BX17">
        <f>'2 Resident Population'!BX28</f>
        <v>0</v>
      </c>
      <c r="BY17">
        <f>'2 Resident Population'!BY28</f>
        <v>0</v>
      </c>
      <c r="BZ17">
        <f>'2 Resident Population'!BZ28</f>
        <v>0</v>
      </c>
      <c r="CA17">
        <f>'2 Resident Population'!CA28</f>
        <v>0</v>
      </c>
      <c r="CB17">
        <f>'2 Resident Population'!CB28</f>
        <v>0</v>
      </c>
      <c r="CC17">
        <f>'2 Resident Population'!CC28</f>
        <v>0</v>
      </c>
      <c r="CD17">
        <f>'2 Resident Population'!CD28</f>
        <v>0</v>
      </c>
      <c r="CE17">
        <f>'2 Resident Population'!CE28</f>
        <v>0</v>
      </c>
      <c r="CF17">
        <f>'2 Resident Population'!CF28</f>
        <v>0</v>
      </c>
      <c r="CG17">
        <f>'2 Resident Population'!CG28</f>
        <v>0</v>
      </c>
      <c r="CH17">
        <f>'2 Resident Population'!CH28</f>
        <v>0</v>
      </c>
      <c r="CI17">
        <f>'2 Resident Population'!CI28</f>
        <v>0</v>
      </c>
      <c r="CJ17">
        <f>'2 Resident Population'!CJ28</f>
        <v>0</v>
      </c>
      <c r="CK17">
        <f>'2 Resident Population'!CK28</f>
        <v>0</v>
      </c>
      <c r="CL17">
        <f>'2 Resident Population'!CL28</f>
        <v>0</v>
      </c>
      <c r="CM17">
        <f>'2 Resident Population'!CM28</f>
        <v>0</v>
      </c>
      <c r="CN17">
        <f>'2 Resident Population'!CN28</f>
        <v>0</v>
      </c>
      <c r="CO17">
        <f>'2 Resident Population'!CO28</f>
        <v>0</v>
      </c>
      <c r="CP17">
        <f>'2 Resident Population'!CP28</f>
        <v>0</v>
      </c>
      <c r="CQ17">
        <f>'2 Resident Population'!CQ28</f>
        <v>0</v>
      </c>
      <c r="CR17">
        <f>'2 Resident Population'!CR28</f>
        <v>0</v>
      </c>
      <c r="CS17">
        <f>'2 Resident Population'!CS28</f>
        <v>0</v>
      </c>
      <c r="CT17">
        <f>'2 Resident Population'!CT28</f>
        <v>0</v>
      </c>
      <c r="CU17">
        <f>'2 Resident Population'!CU28</f>
        <v>0</v>
      </c>
      <c r="CV17">
        <f>'2 Resident Population'!CV28</f>
        <v>0</v>
      </c>
      <c r="CW17">
        <f>'2 Resident Population'!CW28</f>
        <v>0</v>
      </c>
      <c r="CX17">
        <f>'2 Resident Population'!CX28</f>
        <v>0</v>
      </c>
      <c r="CY17">
        <f>'2 Resident Population'!CY28</f>
        <v>0</v>
      </c>
    </row>
    <row r="18" spans="1:103" x14ac:dyDescent="0.45">
      <c r="A18" t="str">
        <f>_xlfn.CONCAT('2 Resident Population'!B1,".",'2 Resident Population'!A29)</f>
        <v>Resident Population.net migration rate[Indian, female, age]</v>
      </c>
      <c r="B18">
        <f>'2 Resident Population'!B29</f>
        <v>0</v>
      </c>
      <c r="C18">
        <f>'2 Resident Population'!C29</f>
        <v>5.8999999999999999E-3</v>
      </c>
      <c r="D18">
        <f>'2 Resident Population'!D29</f>
        <v>5.8999999999999999E-3</v>
      </c>
      <c r="E18">
        <f>'2 Resident Population'!E29</f>
        <v>5.8999999999999999E-3</v>
      </c>
      <c r="F18">
        <f>'2 Resident Population'!F29</f>
        <v>5.8999999999999999E-3</v>
      </c>
      <c r="G18">
        <f>'2 Resident Population'!G29</f>
        <v>5.8999999999999999E-3</v>
      </c>
      <c r="H18">
        <f>'2 Resident Population'!H29</f>
        <v>5.8999999999999999E-3</v>
      </c>
      <c r="I18">
        <f>'2 Resident Population'!I29</f>
        <v>5.8999999999999999E-3</v>
      </c>
      <c r="J18">
        <f>'2 Resident Population'!J29</f>
        <v>5.8999999999999999E-3</v>
      </c>
      <c r="K18">
        <f>'2 Resident Population'!K29</f>
        <v>5.8999999999999999E-3</v>
      </c>
      <c r="L18">
        <f>'2 Resident Population'!L29</f>
        <v>5.8999999999999999E-3</v>
      </c>
      <c r="M18">
        <f>'2 Resident Population'!M29</f>
        <v>5.8999999999999999E-3</v>
      </c>
      <c r="N18">
        <f>'2 Resident Population'!N29</f>
        <v>5.8999999999999999E-3</v>
      </c>
      <c r="O18">
        <f>'2 Resident Population'!O29</f>
        <v>5.8999999999999999E-3</v>
      </c>
      <c r="P18">
        <f>'2 Resident Population'!P29</f>
        <v>5.8999999999999999E-3</v>
      </c>
      <c r="Q18">
        <f>'2 Resident Population'!Q29</f>
        <v>5.8999999999999999E-3</v>
      </c>
      <c r="R18">
        <f>'2 Resident Population'!R29</f>
        <v>5.8999999999999999E-3</v>
      </c>
      <c r="S18">
        <f>'2 Resident Population'!S29</f>
        <v>5.8999999999999999E-3</v>
      </c>
      <c r="T18">
        <f>'2 Resident Population'!T29</f>
        <v>5.8999999999999999E-3</v>
      </c>
      <c r="U18">
        <f>'2 Resident Population'!U29</f>
        <v>5.8999999999999999E-3</v>
      </c>
      <c r="V18">
        <f>'2 Resident Population'!V29</f>
        <v>5.8999999999999999E-3</v>
      </c>
      <c r="W18">
        <f>'2 Resident Population'!W29</f>
        <v>5.8999999999999999E-3</v>
      </c>
      <c r="X18">
        <f>'2 Resident Population'!X29</f>
        <v>5.8999999999999999E-3</v>
      </c>
      <c r="Y18">
        <f>'2 Resident Population'!Y29</f>
        <v>5.8999999999999999E-3</v>
      </c>
      <c r="Z18">
        <f>'2 Resident Population'!Z29</f>
        <v>5.8999999999999999E-3</v>
      </c>
      <c r="AA18">
        <f>'2 Resident Population'!AA29</f>
        <v>5.8999999999999999E-3</v>
      </c>
      <c r="AB18">
        <f>'2 Resident Population'!AB29</f>
        <v>5.8999999999999999E-3</v>
      </c>
      <c r="AC18">
        <f>'2 Resident Population'!AC29</f>
        <v>5.8999999999999999E-3</v>
      </c>
      <c r="AD18">
        <f>'2 Resident Population'!AD29</f>
        <v>5.8999999999999999E-3</v>
      </c>
      <c r="AE18">
        <f>'2 Resident Population'!AE29</f>
        <v>5.8999999999999999E-3</v>
      </c>
      <c r="AF18">
        <f>'2 Resident Population'!AF29</f>
        <v>5.8999999999999999E-3</v>
      </c>
      <c r="AG18">
        <f>'2 Resident Population'!AG29</f>
        <v>5.8999999999999999E-3</v>
      </c>
      <c r="AH18">
        <f>'2 Resident Population'!AH29</f>
        <v>5.8999999999999999E-3</v>
      </c>
      <c r="AI18">
        <f>'2 Resident Population'!AI29</f>
        <v>5.8999999999999999E-3</v>
      </c>
      <c r="AJ18">
        <f>'2 Resident Population'!AJ29</f>
        <v>5.8999999999999999E-3</v>
      </c>
      <c r="AK18">
        <f>'2 Resident Population'!AK29</f>
        <v>5.8999999999999999E-3</v>
      </c>
      <c r="AL18">
        <f>'2 Resident Population'!AL29</f>
        <v>5.8999999999999999E-3</v>
      </c>
      <c r="AM18">
        <f>'2 Resident Population'!AM29</f>
        <v>5.8999999999999999E-3</v>
      </c>
      <c r="AN18">
        <f>'2 Resident Population'!AN29</f>
        <v>5.8999999999999999E-3</v>
      </c>
      <c r="AO18">
        <f>'2 Resident Population'!AO29</f>
        <v>5.8999999999999999E-3</v>
      </c>
      <c r="AP18">
        <f>'2 Resident Population'!AP29</f>
        <v>5.8999999999999999E-3</v>
      </c>
      <c r="AQ18">
        <f>'2 Resident Population'!AQ29</f>
        <v>5.8999999999999999E-3</v>
      </c>
      <c r="AR18">
        <f>'2 Resident Population'!AR29</f>
        <v>5.8999999999999999E-3</v>
      </c>
      <c r="AS18">
        <f>'2 Resident Population'!AS29</f>
        <v>5.8999999999999999E-3</v>
      </c>
      <c r="AT18">
        <f>'2 Resident Population'!AT29</f>
        <v>5.8999999999999999E-3</v>
      </c>
      <c r="AU18">
        <f>'2 Resident Population'!AU29</f>
        <v>5.8999999999999999E-3</v>
      </c>
      <c r="AV18">
        <f>'2 Resident Population'!AV29</f>
        <v>5.8999999999999999E-3</v>
      </c>
      <c r="AW18">
        <f>'2 Resident Population'!AW29</f>
        <v>5.8999999999999999E-3</v>
      </c>
      <c r="AX18">
        <f>'2 Resident Population'!AX29</f>
        <v>5.8999999999999999E-3</v>
      </c>
      <c r="AY18">
        <f>'2 Resident Population'!AY29</f>
        <v>5.8999999999999999E-3</v>
      </c>
      <c r="AZ18">
        <f>'2 Resident Population'!AZ29</f>
        <v>5.8999999999999999E-3</v>
      </c>
      <c r="BA18">
        <f>'2 Resident Population'!BA29</f>
        <v>0</v>
      </c>
      <c r="BB18">
        <f>'2 Resident Population'!BB29</f>
        <v>0</v>
      </c>
      <c r="BC18">
        <f>'2 Resident Population'!BC29</f>
        <v>0</v>
      </c>
      <c r="BD18">
        <f>'2 Resident Population'!BD29</f>
        <v>0</v>
      </c>
      <c r="BE18">
        <f>'2 Resident Population'!BE29</f>
        <v>0</v>
      </c>
      <c r="BF18">
        <f>'2 Resident Population'!BF29</f>
        <v>0</v>
      </c>
      <c r="BG18">
        <f>'2 Resident Population'!BG29</f>
        <v>0</v>
      </c>
      <c r="BH18">
        <f>'2 Resident Population'!BH29</f>
        <v>0</v>
      </c>
      <c r="BI18">
        <f>'2 Resident Population'!BI29</f>
        <v>0</v>
      </c>
      <c r="BJ18">
        <f>'2 Resident Population'!BJ29</f>
        <v>0</v>
      </c>
      <c r="BK18">
        <f>'2 Resident Population'!BK29</f>
        <v>0</v>
      </c>
      <c r="BL18">
        <f>'2 Resident Population'!BL29</f>
        <v>0</v>
      </c>
      <c r="BM18">
        <f>'2 Resident Population'!BM29</f>
        <v>0</v>
      </c>
      <c r="BN18">
        <f>'2 Resident Population'!BN29</f>
        <v>0</v>
      </c>
      <c r="BO18">
        <f>'2 Resident Population'!BO29</f>
        <v>0</v>
      </c>
      <c r="BP18">
        <f>'2 Resident Population'!BP29</f>
        <v>0</v>
      </c>
      <c r="BQ18">
        <f>'2 Resident Population'!BQ29</f>
        <v>0</v>
      </c>
      <c r="BR18">
        <f>'2 Resident Population'!BR29</f>
        <v>0</v>
      </c>
      <c r="BS18">
        <f>'2 Resident Population'!BS29</f>
        <v>0</v>
      </c>
      <c r="BT18">
        <f>'2 Resident Population'!BT29</f>
        <v>0</v>
      </c>
      <c r="BU18">
        <f>'2 Resident Population'!BU29</f>
        <v>0</v>
      </c>
      <c r="BV18">
        <f>'2 Resident Population'!BV29</f>
        <v>0</v>
      </c>
      <c r="BW18">
        <f>'2 Resident Population'!BW29</f>
        <v>0</v>
      </c>
      <c r="BX18">
        <f>'2 Resident Population'!BX29</f>
        <v>0</v>
      </c>
      <c r="BY18">
        <f>'2 Resident Population'!BY29</f>
        <v>0</v>
      </c>
      <c r="BZ18">
        <f>'2 Resident Population'!BZ29</f>
        <v>0</v>
      </c>
      <c r="CA18">
        <f>'2 Resident Population'!CA29</f>
        <v>0</v>
      </c>
      <c r="CB18">
        <f>'2 Resident Population'!CB29</f>
        <v>0</v>
      </c>
      <c r="CC18">
        <f>'2 Resident Population'!CC29</f>
        <v>0</v>
      </c>
      <c r="CD18">
        <f>'2 Resident Population'!CD29</f>
        <v>0</v>
      </c>
      <c r="CE18">
        <f>'2 Resident Population'!CE29</f>
        <v>0</v>
      </c>
      <c r="CF18">
        <f>'2 Resident Population'!CF29</f>
        <v>0</v>
      </c>
      <c r="CG18">
        <f>'2 Resident Population'!CG29</f>
        <v>0</v>
      </c>
      <c r="CH18">
        <f>'2 Resident Population'!CH29</f>
        <v>0</v>
      </c>
      <c r="CI18">
        <f>'2 Resident Population'!CI29</f>
        <v>0</v>
      </c>
      <c r="CJ18">
        <f>'2 Resident Population'!CJ29</f>
        <v>0</v>
      </c>
      <c r="CK18">
        <f>'2 Resident Population'!CK29</f>
        <v>0</v>
      </c>
      <c r="CL18">
        <f>'2 Resident Population'!CL29</f>
        <v>0</v>
      </c>
      <c r="CM18">
        <f>'2 Resident Population'!CM29</f>
        <v>0</v>
      </c>
      <c r="CN18">
        <f>'2 Resident Population'!CN29</f>
        <v>0</v>
      </c>
      <c r="CO18">
        <f>'2 Resident Population'!CO29</f>
        <v>0</v>
      </c>
      <c r="CP18">
        <f>'2 Resident Population'!CP29</f>
        <v>0</v>
      </c>
      <c r="CQ18">
        <f>'2 Resident Population'!CQ29</f>
        <v>0</v>
      </c>
      <c r="CR18">
        <f>'2 Resident Population'!CR29</f>
        <v>0</v>
      </c>
      <c r="CS18">
        <f>'2 Resident Population'!CS29</f>
        <v>0</v>
      </c>
      <c r="CT18">
        <f>'2 Resident Population'!CT29</f>
        <v>0</v>
      </c>
      <c r="CU18">
        <f>'2 Resident Population'!CU29</f>
        <v>0</v>
      </c>
      <c r="CV18">
        <f>'2 Resident Population'!CV29</f>
        <v>0</v>
      </c>
      <c r="CW18">
        <f>'2 Resident Population'!CW29</f>
        <v>0</v>
      </c>
      <c r="CX18">
        <f>'2 Resident Population'!CX29</f>
        <v>0</v>
      </c>
      <c r="CY18">
        <f>'2 Resident Population'!CY29</f>
        <v>0</v>
      </c>
    </row>
    <row r="19" spans="1:103" x14ac:dyDescent="0.45">
      <c r="A19" t="str">
        <f>_xlfn.CONCAT('2 Resident Population'!B1,".",'2 Resident Population'!A30)</f>
        <v>Resident Population.net migration rate[Other, male, age]</v>
      </c>
      <c r="B19">
        <f>'2 Resident Population'!B30</f>
        <v>0</v>
      </c>
      <c r="C19">
        <f>'2 Resident Population'!C30</f>
        <v>5.8999999999999999E-3</v>
      </c>
      <c r="D19">
        <f>'2 Resident Population'!D30</f>
        <v>5.8999999999999999E-3</v>
      </c>
      <c r="E19">
        <f>'2 Resident Population'!E30</f>
        <v>5.8999999999999999E-3</v>
      </c>
      <c r="F19">
        <f>'2 Resident Population'!F30</f>
        <v>5.8999999999999999E-3</v>
      </c>
      <c r="G19">
        <f>'2 Resident Population'!G30</f>
        <v>5.8999999999999999E-3</v>
      </c>
      <c r="H19">
        <f>'2 Resident Population'!H30</f>
        <v>5.8999999999999999E-3</v>
      </c>
      <c r="I19">
        <f>'2 Resident Population'!I30</f>
        <v>5.8999999999999999E-3</v>
      </c>
      <c r="J19">
        <f>'2 Resident Population'!J30</f>
        <v>5.8999999999999999E-3</v>
      </c>
      <c r="K19">
        <f>'2 Resident Population'!K30</f>
        <v>5.8999999999999999E-3</v>
      </c>
      <c r="L19">
        <f>'2 Resident Population'!L30</f>
        <v>5.8999999999999999E-3</v>
      </c>
      <c r="M19">
        <f>'2 Resident Population'!M30</f>
        <v>5.8999999999999999E-3</v>
      </c>
      <c r="N19">
        <f>'2 Resident Population'!N30</f>
        <v>5.8999999999999999E-3</v>
      </c>
      <c r="O19">
        <f>'2 Resident Population'!O30</f>
        <v>5.8999999999999999E-3</v>
      </c>
      <c r="P19">
        <f>'2 Resident Population'!P30</f>
        <v>5.8999999999999999E-3</v>
      </c>
      <c r="Q19">
        <f>'2 Resident Population'!Q30</f>
        <v>5.8999999999999999E-3</v>
      </c>
      <c r="R19">
        <f>'2 Resident Population'!R30</f>
        <v>5.8999999999999999E-3</v>
      </c>
      <c r="S19">
        <f>'2 Resident Population'!S30</f>
        <v>5.8999999999999999E-3</v>
      </c>
      <c r="T19">
        <f>'2 Resident Population'!T30</f>
        <v>5.8999999999999999E-3</v>
      </c>
      <c r="U19">
        <f>'2 Resident Population'!U30</f>
        <v>5.8999999999999999E-3</v>
      </c>
      <c r="V19">
        <f>'2 Resident Population'!V30</f>
        <v>5.8999999999999999E-3</v>
      </c>
      <c r="W19">
        <f>'2 Resident Population'!W30</f>
        <v>5.8999999999999999E-3</v>
      </c>
      <c r="X19">
        <f>'2 Resident Population'!X30</f>
        <v>5.8999999999999999E-3</v>
      </c>
      <c r="Y19">
        <f>'2 Resident Population'!Y30</f>
        <v>5.8999999999999999E-3</v>
      </c>
      <c r="Z19">
        <f>'2 Resident Population'!Z30</f>
        <v>5.8999999999999999E-3</v>
      </c>
      <c r="AA19">
        <f>'2 Resident Population'!AA30</f>
        <v>5.8999999999999999E-3</v>
      </c>
      <c r="AB19">
        <f>'2 Resident Population'!AB30</f>
        <v>5.8999999999999999E-3</v>
      </c>
      <c r="AC19">
        <f>'2 Resident Population'!AC30</f>
        <v>5.8999999999999999E-3</v>
      </c>
      <c r="AD19">
        <f>'2 Resident Population'!AD30</f>
        <v>5.8999999999999999E-3</v>
      </c>
      <c r="AE19">
        <f>'2 Resident Population'!AE30</f>
        <v>5.8999999999999999E-3</v>
      </c>
      <c r="AF19">
        <f>'2 Resident Population'!AF30</f>
        <v>5.8999999999999999E-3</v>
      </c>
      <c r="AG19">
        <f>'2 Resident Population'!AG30</f>
        <v>5.8999999999999999E-3</v>
      </c>
      <c r="AH19">
        <f>'2 Resident Population'!AH30</f>
        <v>5.8999999999999999E-3</v>
      </c>
      <c r="AI19">
        <f>'2 Resident Population'!AI30</f>
        <v>5.8999999999999999E-3</v>
      </c>
      <c r="AJ19">
        <f>'2 Resident Population'!AJ30</f>
        <v>5.8999999999999999E-3</v>
      </c>
      <c r="AK19">
        <f>'2 Resident Population'!AK30</f>
        <v>5.8999999999999999E-3</v>
      </c>
      <c r="AL19">
        <f>'2 Resident Population'!AL30</f>
        <v>5.8999999999999999E-3</v>
      </c>
      <c r="AM19">
        <f>'2 Resident Population'!AM30</f>
        <v>5.8999999999999999E-3</v>
      </c>
      <c r="AN19">
        <f>'2 Resident Population'!AN30</f>
        <v>5.8999999999999999E-3</v>
      </c>
      <c r="AO19">
        <f>'2 Resident Population'!AO30</f>
        <v>5.8999999999999999E-3</v>
      </c>
      <c r="AP19">
        <f>'2 Resident Population'!AP30</f>
        <v>5.8999999999999999E-3</v>
      </c>
      <c r="AQ19">
        <f>'2 Resident Population'!AQ30</f>
        <v>5.8999999999999999E-3</v>
      </c>
      <c r="AR19">
        <f>'2 Resident Population'!AR30</f>
        <v>5.8999999999999999E-3</v>
      </c>
      <c r="AS19">
        <f>'2 Resident Population'!AS30</f>
        <v>5.8999999999999999E-3</v>
      </c>
      <c r="AT19">
        <f>'2 Resident Population'!AT30</f>
        <v>5.8999999999999999E-3</v>
      </c>
      <c r="AU19">
        <f>'2 Resident Population'!AU30</f>
        <v>5.8999999999999999E-3</v>
      </c>
      <c r="AV19">
        <f>'2 Resident Population'!AV30</f>
        <v>5.8999999999999999E-3</v>
      </c>
      <c r="AW19">
        <f>'2 Resident Population'!AW30</f>
        <v>5.8999999999999999E-3</v>
      </c>
      <c r="AX19">
        <f>'2 Resident Population'!AX30</f>
        <v>5.8999999999999999E-3</v>
      </c>
      <c r="AY19">
        <f>'2 Resident Population'!AY30</f>
        <v>5.8999999999999999E-3</v>
      </c>
      <c r="AZ19">
        <f>'2 Resident Population'!AZ30</f>
        <v>5.8999999999999999E-3</v>
      </c>
      <c r="BA19">
        <f>'2 Resident Population'!BA30</f>
        <v>0</v>
      </c>
      <c r="BB19">
        <f>'2 Resident Population'!BB30</f>
        <v>0</v>
      </c>
      <c r="BC19">
        <f>'2 Resident Population'!BC30</f>
        <v>0</v>
      </c>
      <c r="BD19">
        <f>'2 Resident Population'!BD30</f>
        <v>0</v>
      </c>
      <c r="BE19">
        <f>'2 Resident Population'!BE30</f>
        <v>0</v>
      </c>
      <c r="BF19">
        <f>'2 Resident Population'!BF30</f>
        <v>0</v>
      </c>
      <c r="BG19">
        <f>'2 Resident Population'!BG30</f>
        <v>0</v>
      </c>
      <c r="BH19">
        <f>'2 Resident Population'!BH30</f>
        <v>0</v>
      </c>
      <c r="BI19">
        <f>'2 Resident Population'!BI30</f>
        <v>0</v>
      </c>
      <c r="BJ19">
        <f>'2 Resident Population'!BJ30</f>
        <v>0</v>
      </c>
      <c r="BK19">
        <f>'2 Resident Population'!BK30</f>
        <v>0</v>
      </c>
      <c r="BL19">
        <f>'2 Resident Population'!BL30</f>
        <v>0</v>
      </c>
      <c r="BM19">
        <f>'2 Resident Population'!BM30</f>
        <v>0</v>
      </c>
      <c r="BN19">
        <f>'2 Resident Population'!BN30</f>
        <v>0</v>
      </c>
      <c r="BO19">
        <f>'2 Resident Population'!BO30</f>
        <v>0</v>
      </c>
      <c r="BP19">
        <f>'2 Resident Population'!BP30</f>
        <v>0</v>
      </c>
      <c r="BQ19">
        <f>'2 Resident Population'!BQ30</f>
        <v>0</v>
      </c>
      <c r="BR19">
        <f>'2 Resident Population'!BR30</f>
        <v>0</v>
      </c>
      <c r="BS19">
        <f>'2 Resident Population'!BS30</f>
        <v>0</v>
      </c>
      <c r="BT19">
        <f>'2 Resident Population'!BT30</f>
        <v>0</v>
      </c>
      <c r="BU19">
        <f>'2 Resident Population'!BU30</f>
        <v>0</v>
      </c>
      <c r="BV19">
        <f>'2 Resident Population'!BV30</f>
        <v>0</v>
      </c>
      <c r="BW19">
        <f>'2 Resident Population'!BW30</f>
        <v>0</v>
      </c>
      <c r="BX19">
        <f>'2 Resident Population'!BX30</f>
        <v>0</v>
      </c>
      <c r="BY19">
        <f>'2 Resident Population'!BY30</f>
        <v>0</v>
      </c>
      <c r="BZ19">
        <f>'2 Resident Population'!BZ30</f>
        <v>0</v>
      </c>
      <c r="CA19">
        <f>'2 Resident Population'!CA30</f>
        <v>0</v>
      </c>
      <c r="CB19">
        <f>'2 Resident Population'!CB30</f>
        <v>0</v>
      </c>
      <c r="CC19">
        <f>'2 Resident Population'!CC30</f>
        <v>0</v>
      </c>
      <c r="CD19">
        <f>'2 Resident Population'!CD30</f>
        <v>0</v>
      </c>
      <c r="CE19">
        <f>'2 Resident Population'!CE30</f>
        <v>0</v>
      </c>
      <c r="CF19">
        <f>'2 Resident Population'!CF30</f>
        <v>0</v>
      </c>
      <c r="CG19">
        <f>'2 Resident Population'!CG30</f>
        <v>0</v>
      </c>
      <c r="CH19">
        <f>'2 Resident Population'!CH30</f>
        <v>0</v>
      </c>
      <c r="CI19">
        <f>'2 Resident Population'!CI30</f>
        <v>0</v>
      </c>
      <c r="CJ19">
        <f>'2 Resident Population'!CJ30</f>
        <v>0</v>
      </c>
      <c r="CK19">
        <f>'2 Resident Population'!CK30</f>
        <v>0</v>
      </c>
      <c r="CL19">
        <f>'2 Resident Population'!CL30</f>
        <v>0</v>
      </c>
      <c r="CM19">
        <f>'2 Resident Population'!CM30</f>
        <v>0</v>
      </c>
      <c r="CN19">
        <f>'2 Resident Population'!CN30</f>
        <v>0</v>
      </c>
      <c r="CO19">
        <f>'2 Resident Population'!CO30</f>
        <v>0</v>
      </c>
      <c r="CP19">
        <f>'2 Resident Population'!CP30</f>
        <v>0</v>
      </c>
      <c r="CQ19">
        <f>'2 Resident Population'!CQ30</f>
        <v>0</v>
      </c>
      <c r="CR19">
        <f>'2 Resident Population'!CR30</f>
        <v>0</v>
      </c>
      <c r="CS19">
        <f>'2 Resident Population'!CS30</f>
        <v>0</v>
      </c>
      <c r="CT19">
        <f>'2 Resident Population'!CT30</f>
        <v>0</v>
      </c>
      <c r="CU19">
        <f>'2 Resident Population'!CU30</f>
        <v>0</v>
      </c>
      <c r="CV19">
        <f>'2 Resident Population'!CV30</f>
        <v>0</v>
      </c>
      <c r="CW19">
        <f>'2 Resident Population'!CW30</f>
        <v>0</v>
      </c>
      <c r="CX19">
        <f>'2 Resident Population'!CX30</f>
        <v>0</v>
      </c>
      <c r="CY19">
        <f>'2 Resident Population'!CY30</f>
        <v>0</v>
      </c>
    </row>
    <row r="20" spans="1:103" x14ac:dyDescent="0.45">
      <c r="A20" t="str">
        <f>_xlfn.CONCAT('2 Resident Population'!B1,".",'2 Resident Population'!A31)</f>
        <v>Resident Population.net migration rate[Other, female, age]</v>
      </c>
      <c r="B20">
        <f>'2 Resident Population'!B31</f>
        <v>0</v>
      </c>
      <c r="C20">
        <f>'2 Resident Population'!C31</f>
        <v>5.8999999999999999E-3</v>
      </c>
      <c r="D20">
        <f>'2 Resident Population'!D31</f>
        <v>5.8999999999999999E-3</v>
      </c>
      <c r="E20">
        <f>'2 Resident Population'!E31</f>
        <v>5.8999999999999999E-3</v>
      </c>
      <c r="F20">
        <f>'2 Resident Population'!F31</f>
        <v>5.8999999999999999E-3</v>
      </c>
      <c r="G20">
        <f>'2 Resident Population'!G31</f>
        <v>5.8999999999999999E-3</v>
      </c>
      <c r="H20">
        <f>'2 Resident Population'!H31</f>
        <v>5.8999999999999999E-3</v>
      </c>
      <c r="I20">
        <f>'2 Resident Population'!I31</f>
        <v>5.8999999999999999E-3</v>
      </c>
      <c r="J20">
        <f>'2 Resident Population'!J31</f>
        <v>5.8999999999999999E-3</v>
      </c>
      <c r="K20">
        <f>'2 Resident Population'!K31</f>
        <v>5.8999999999999999E-3</v>
      </c>
      <c r="L20">
        <f>'2 Resident Population'!L31</f>
        <v>5.8999999999999999E-3</v>
      </c>
      <c r="M20">
        <f>'2 Resident Population'!M31</f>
        <v>5.8999999999999999E-3</v>
      </c>
      <c r="N20">
        <f>'2 Resident Population'!N31</f>
        <v>5.8999999999999999E-3</v>
      </c>
      <c r="O20">
        <f>'2 Resident Population'!O31</f>
        <v>5.8999999999999999E-3</v>
      </c>
      <c r="P20">
        <f>'2 Resident Population'!P31</f>
        <v>5.8999999999999999E-3</v>
      </c>
      <c r="Q20">
        <f>'2 Resident Population'!Q31</f>
        <v>5.8999999999999999E-3</v>
      </c>
      <c r="R20">
        <f>'2 Resident Population'!R31</f>
        <v>5.8999999999999999E-3</v>
      </c>
      <c r="S20">
        <f>'2 Resident Population'!S31</f>
        <v>5.8999999999999999E-3</v>
      </c>
      <c r="T20">
        <f>'2 Resident Population'!T31</f>
        <v>5.8999999999999999E-3</v>
      </c>
      <c r="U20">
        <f>'2 Resident Population'!U31</f>
        <v>5.8999999999999999E-3</v>
      </c>
      <c r="V20">
        <f>'2 Resident Population'!V31</f>
        <v>5.8999999999999999E-3</v>
      </c>
      <c r="W20">
        <f>'2 Resident Population'!W31</f>
        <v>5.8999999999999999E-3</v>
      </c>
      <c r="X20">
        <f>'2 Resident Population'!X31</f>
        <v>5.8999999999999999E-3</v>
      </c>
      <c r="Y20">
        <f>'2 Resident Population'!Y31</f>
        <v>5.8999999999999999E-3</v>
      </c>
      <c r="Z20">
        <f>'2 Resident Population'!Z31</f>
        <v>5.8999999999999999E-3</v>
      </c>
      <c r="AA20">
        <f>'2 Resident Population'!AA31</f>
        <v>5.8999999999999999E-3</v>
      </c>
      <c r="AB20">
        <f>'2 Resident Population'!AB31</f>
        <v>5.8999999999999999E-3</v>
      </c>
      <c r="AC20">
        <f>'2 Resident Population'!AC31</f>
        <v>5.8999999999999999E-3</v>
      </c>
      <c r="AD20">
        <f>'2 Resident Population'!AD31</f>
        <v>5.8999999999999999E-3</v>
      </c>
      <c r="AE20">
        <f>'2 Resident Population'!AE31</f>
        <v>5.8999999999999999E-3</v>
      </c>
      <c r="AF20">
        <f>'2 Resident Population'!AF31</f>
        <v>5.8999999999999999E-3</v>
      </c>
      <c r="AG20">
        <f>'2 Resident Population'!AG31</f>
        <v>5.8999999999999999E-3</v>
      </c>
      <c r="AH20">
        <f>'2 Resident Population'!AH31</f>
        <v>5.8999999999999999E-3</v>
      </c>
      <c r="AI20">
        <f>'2 Resident Population'!AI31</f>
        <v>5.8999999999999999E-3</v>
      </c>
      <c r="AJ20">
        <f>'2 Resident Population'!AJ31</f>
        <v>5.8999999999999999E-3</v>
      </c>
      <c r="AK20">
        <f>'2 Resident Population'!AK31</f>
        <v>5.8999999999999999E-3</v>
      </c>
      <c r="AL20">
        <f>'2 Resident Population'!AL31</f>
        <v>5.8999999999999999E-3</v>
      </c>
      <c r="AM20">
        <f>'2 Resident Population'!AM31</f>
        <v>5.8999999999999999E-3</v>
      </c>
      <c r="AN20">
        <f>'2 Resident Population'!AN31</f>
        <v>5.8999999999999999E-3</v>
      </c>
      <c r="AO20">
        <f>'2 Resident Population'!AO31</f>
        <v>5.8999999999999999E-3</v>
      </c>
      <c r="AP20">
        <f>'2 Resident Population'!AP31</f>
        <v>5.8999999999999999E-3</v>
      </c>
      <c r="AQ20">
        <f>'2 Resident Population'!AQ31</f>
        <v>5.8999999999999999E-3</v>
      </c>
      <c r="AR20">
        <f>'2 Resident Population'!AR31</f>
        <v>5.8999999999999999E-3</v>
      </c>
      <c r="AS20">
        <f>'2 Resident Population'!AS31</f>
        <v>5.8999999999999999E-3</v>
      </c>
      <c r="AT20">
        <f>'2 Resident Population'!AT31</f>
        <v>5.8999999999999999E-3</v>
      </c>
      <c r="AU20">
        <f>'2 Resident Population'!AU31</f>
        <v>5.8999999999999999E-3</v>
      </c>
      <c r="AV20">
        <f>'2 Resident Population'!AV31</f>
        <v>5.8999999999999999E-3</v>
      </c>
      <c r="AW20">
        <f>'2 Resident Population'!AW31</f>
        <v>5.8999999999999999E-3</v>
      </c>
      <c r="AX20">
        <f>'2 Resident Population'!AX31</f>
        <v>5.8999999999999999E-3</v>
      </c>
      <c r="AY20">
        <f>'2 Resident Population'!AY31</f>
        <v>5.8999999999999999E-3</v>
      </c>
      <c r="AZ20">
        <f>'2 Resident Population'!AZ31</f>
        <v>5.8999999999999999E-3</v>
      </c>
      <c r="BA20">
        <f>'2 Resident Population'!BA31</f>
        <v>0</v>
      </c>
      <c r="BB20">
        <f>'2 Resident Population'!BB31</f>
        <v>0</v>
      </c>
      <c r="BC20">
        <f>'2 Resident Population'!BC31</f>
        <v>0</v>
      </c>
      <c r="BD20">
        <f>'2 Resident Population'!BD31</f>
        <v>0</v>
      </c>
      <c r="BE20">
        <f>'2 Resident Population'!BE31</f>
        <v>0</v>
      </c>
      <c r="BF20">
        <f>'2 Resident Population'!BF31</f>
        <v>0</v>
      </c>
      <c r="BG20">
        <f>'2 Resident Population'!BG31</f>
        <v>0</v>
      </c>
      <c r="BH20">
        <f>'2 Resident Population'!BH31</f>
        <v>0</v>
      </c>
      <c r="BI20">
        <f>'2 Resident Population'!BI31</f>
        <v>0</v>
      </c>
      <c r="BJ20">
        <f>'2 Resident Population'!BJ31</f>
        <v>0</v>
      </c>
      <c r="BK20">
        <f>'2 Resident Population'!BK31</f>
        <v>0</v>
      </c>
      <c r="BL20">
        <f>'2 Resident Population'!BL31</f>
        <v>0</v>
      </c>
      <c r="BM20">
        <f>'2 Resident Population'!BM31</f>
        <v>0</v>
      </c>
      <c r="BN20">
        <f>'2 Resident Population'!BN31</f>
        <v>0</v>
      </c>
      <c r="BO20">
        <f>'2 Resident Population'!BO31</f>
        <v>0</v>
      </c>
      <c r="BP20">
        <f>'2 Resident Population'!BP31</f>
        <v>0</v>
      </c>
      <c r="BQ20">
        <f>'2 Resident Population'!BQ31</f>
        <v>0</v>
      </c>
      <c r="BR20">
        <f>'2 Resident Population'!BR31</f>
        <v>0</v>
      </c>
      <c r="BS20">
        <f>'2 Resident Population'!BS31</f>
        <v>0</v>
      </c>
      <c r="BT20">
        <f>'2 Resident Population'!BT31</f>
        <v>0</v>
      </c>
      <c r="BU20">
        <f>'2 Resident Population'!BU31</f>
        <v>0</v>
      </c>
      <c r="BV20">
        <f>'2 Resident Population'!BV31</f>
        <v>0</v>
      </c>
      <c r="BW20">
        <f>'2 Resident Population'!BW31</f>
        <v>0</v>
      </c>
      <c r="BX20">
        <f>'2 Resident Population'!BX31</f>
        <v>0</v>
      </c>
      <c r="BY20">
        <f>'2 Resident Population'!BY31</f>
        <v>0</v>
      </c>
      <c r="BZ20">
        <f>'2 Resident Population'!BZ31</f>
        <v>0</v>
      </c>
      <c r="CA20">
        <f>'2 Resident Population'!CA31</f>
        <v>0</v>
      </c>
      <c r="CB20">
        <f>'2 Resident Population'!CB31</f>
        <v>0</v>
      </c>
      <c r="CC20">
        <f>'2 Resident Population'!CC31</f>
        <v>0</v>
      </c>
      <c r="CD20">
        <f>'2 Resident Population'!CD31</f>
        <v>0</v>
      </c>
      <c r="CE20">
        <f>'2 Resident Population'!CE31</f>
        <v>0</v>
      </c>
      <c r="CF20">
        <f>'2 Resident Population'!CF31</f>
        <v>0</v>
      </c>
      <c r="CG20">
        <f>'2 Resident Population'!CG31</f>
        <v>0</v>
      </c>
      <c r="CH20">
        <f>'2 Resident Population'!CH31</f>
        <v>0</v>
      </c>
      <c r="CI20">
        <f>'2 Resident Population'!CI31</f>
        <v>0</v>
      </c>
      <c r="CJ20">
        <f>'2 Resident Population'!CJ31</f>
        <v>0</v>
      </c>
      <c r="CK20">
        <f>'2 Resident Population'!CK31</f>
        <v>0</v>
      </c>
      <c r="CL20">
        <f>'2 Resident Population'!CL31</f>
        <v>0</v>
      </c>
      <c r="CM20">
        <f>'2 Resident Population'!CM31</f>
        <v>0</v>
      </c>
      <c r="CN20">
        <f>'2 Resident Population'!CN31</f>
        <v>0</v>
      </c>
      <c r="CO20">
        <f>'2 Resident Population'!CO31</f>
        <v>0</v>
      </c>
      <c r="CP20">
        <f>'2 Resident Population'!CP31</f>
        <v>0</v>
      </c>
      <c r="CQ20">
        <f>'2 Resident Population'!CQ31</f>
        <v>0</v>
      </c>
      <c r="CR20">
        <f>'2 Resident Population'!CR31</f>
        <v>0</v>
      </c>
      <c r="CS20">
        <f>'2 Resident Population'!CS31</f>
        <v>0</v>
      </c>
      <c r="CT20">
        <f>'2 Resident Population'!CT31</f>
        <v>0</v>
      </c>
      <c r="CU20">
        <f>'2 Resident Population'!CU31</f>
        <v>0</v>
      </c>
      <c r="CV20">
        <f>'2 Resident Population'!CV31</f>
        <v>0</v>
      </c>
      <c r="CW20">
        <f>'2 Resident Population'!CW31</f>
        <v>0</v>
      </c>
      <c r="CX20">
        <f>'2 Resident Population'!CX31</f>
        <v>0</v>
      </c>
      <c r="CY20">
        <f>'2 Resident Population'!CY31</f>
        <v>0</v>
      </c>
    </row>
    <row r="21" spans="1:103" x14ac:dyDescent="0.45">
      <c r="A21" t="str">
        <f>'3. Frail population'!A3</f>
        <v>Frail Population.age as a number[age]</v>
      </c>
      <c r="B21">
        <f>'3. Frail population'!B3</f>
        <v>0</v>
      </c>
      <c r="C21">
        <f>'3. Frail population'!C3</f>
        <v>0</v>
      </c>
      <c r="D21">
        <f>'3. Frail population'!D3</f>
        <v>1</v>
      </c>
      <c r="E21">
        <f>'3. Frail population'!E3</f>
        <v>2</v>
      </c>
      <c r="F21">
        <f>'3. Frail population'!F3</f>
        <v>3</v>
      </c>
      <c r="G21">
        <f>'3. Frail population'!G3</f>
        <v>4</v>
      </c>
      <c r="H21">
        <f>'3. Frail population'!H3</f>
        <v>5</v>
      </c>
      <c r="I21">
        <f>'3. Frail population'!I3</f>
        <v>6</v>
      </c>
      <c r="J21">
        <f>'3. Frail population'!J3</f>
        <v>7</v>
      </c>
      <c r="K21">
        <f>'3. Frail population'!K3</f>
        <v>8</v>
      </c>
      <c r="L21">
        <f>'3. Frail population'!L3</f>
        <v>9</v>
      </c>
      <c r="M21">
        <f>'3. Frail population'!M3</f>
        <v>10</v>
      </c>
      <c r="N21">
        <f>'3. Frail population'!N3</f>
        <v>11</v>
      </c>
      <c r="O21">
        <f>'3. Frail population'!O3</f>
        <v>12</v>
      </c>
      <c r="P21">
        <f>'3. Frail population'!P3</f>
        <v>13</v>
      </c>
      <c r="Q21">
        <f>'3. Frail population'!Q3</f>
        <v>14</v>
      </c>
      <c r="R21">
        <f>'3. Frail population'!R3</f>
        <v>15</v>
      </c>
      <c r="S21">
        <f>'3. Frail population'!S3</f>
        <v>16</v>
      </c>
      <c r="T21">
        <f>'3. Frail population'!T3</f>
        <v>17</v>
      </c>
      <c r="U21">
        <f>'3. Frail population'!U3</f>
        <v>18</v>
      </c>
      <c r="V21">
        <f>'3. Frail population'!V3</f>
        <v>19</v>
      </c>
      <c r="W21">
        <f>'3. Frail population'!W3</f>
        <v>20</v>
      </c>
      <c r="X21">
        <f>'3. Frail population'!X3</f>
        <v>21</v>
      </c>
      <c r="Y21">
        <f>'3. Frail population'!Y3</f>
        <v>22</v>
      </c>
      <c r="Z21">
        <f>'3. Frail population'!Z3</f>
        <v>23</v>
      </c>
      <c r="AA21">
        <f>'3. Frail population'!AA3</f>
        <v>24</v>
      </c>
      <c r="AB21">
        <f>'3. Frail population'!AB3</f>
        <v>25</v>
      </c>
      <c r="AC21">
        <f>'3. Frail population'!AC3</f>
        <v>26</v>
      </c>
      <c r="AD21">
        <f>'3. Frail population'!AD3</f>
        <v>27</v>
      </c>
      <c r="AE21">
        <f>'3. Frail population'!AE3</f>
        <v>28</v>
      </c>
      <c r="AF21">
        <f>'3. Frail population'!AF3</f>
        <v>29</v>
      </c>
      <c r="AG21">
        <f>'3. Frail population'!AG3</f>
        <v>30</v>
      </c>
      <c r="AH21">
        <f>'3. Frail population'!AH3</f>
        <v>31</v>
      </c>
      <c r="AI21">
        <f>'3. Frail population'!AI3</f>
        <v>32</v>
      </c>
      <c r="AJ21">
        <f>'3. Frail population'!AJ3</f>
        <v>33</v>
      </c>
      <c r="AK21">
        <f>'3. Frail population'!AK3</f>
        <v>34</v>
      </c>
      <c r="AL21">
        <f>'3. Frail population'!AL3</f>
        <v>35</v>
      </c>
      <c r="AM21">
        <f>'3. Frail population'!AM3</f>
        <v>36</v>
      </c>
      <c r="AN21">
        <f>'3. Frail population'!AN3</f>
        <v>37</v>
      </c>
      <c r="AO21">
        <f>'3. Frail population'!AO3</f>
        <v>38</v>
      </c>
      <c r="AP21">
        <f>'3. Frail population'!AP3</f>
        <v>39</v>
      </c>
      <c r="AQ21">
        <f>'3. Frail population'!AQ3</f>
        <v>40</v>
      </c>
      <c r="AR21">
        <f>'3. Frail population'!AR3</f>
        <v>41</v>
      </c>
      <c r="AS21">
        <f>'3. Frail population'!AS3</f>
        <v>42</v>
      </c>
      <c r="AT21">
        <f>'3. Frail population'!AT3</f>
        <v>43</v>
      </c>
      <c r="AU21">
        <f>'3. Frail population'!AU3</f>
        <v>44</v>
      </c>
      <c r="AV21">
        <f>'3. Frail population'!AV3</f>
        <v>45</v>
      </c>
      <c r="AW21">
        <f>'3. Frail population'!AW3</f>
        <v>46</v>
      </c>
      <c r="AX21">
        <f>'3. Frail population'!AX3</f>
        <v>47</v>
      </c>
      <c r="AY21">
        <f>'3. Frail population'!AY3</f>
        <v>48</v>
      </c>
      <c r="AZ21">
        <f>'3. Frail population'!AZ3</f>
        <v>49</v>
      </c>
      <c r="BA21">
        <f>'3. Frail population'!BA3</f>
        <v>50</v>
      </c>
      <c r="BB21">
        <f>'3. Frail population'!BB3</f>
        <v>51</v>
      </c>
      <c r="BC21">
        <f>'3. Frail population'!BC3</f>
        <v>52</v>
      </c>
      <c r="BD21">
        <f>'3. Frail population'!BD3</f>
        <v>53</v>
      </c>
      <c r="BE21">
        <f>'3. Frail population'!BE3</f>
        <v>54</v>
      </c>
      <c r="BF21">
        <f>'3. Frail population'!BF3</f>
        <v>55</v>
      </c>
      <c r="BG21">
        <f>'3. Frail population'!BG3</f>
        <v>56</v>
      </c>
      <c r="BH21">
        <f>'3. Frail population'!BH3</f>
        <v>57</v>
      </c>
      <c r="BI21">
        <f>'3. Frail population'!BI3</f>
        <v>58</v>
      </c>
      <c r="BJ21">
        <f>'3. Frail population'!BJ3</f>
        <v>59</v>
      </c>
      <c r="BK21">
        <f>'3. Frail population'!BK3</f>
        <v>60</v>
      </c>
      <c r="BL21">
        <f>'3. Frail population'!BL3</f>
        <v>61</v>
      </c>
      <c r="BM21">
        <f>'3. Frail population'!BM3</f>
        <v>62</v>
      </c>
      <c r="BN21">
        <f>'3. Frail population'!BN3</f>
        <v>63</v>
      </c>
      <c r="BO21">
        <f>'3. Frail population'!BO3</f>
        <v>64</v>
      </c>
      <c r="BP21">
        <f>'3. Frail population'!BP3</f>
        <v>65</v>
      </c>
      <c r="BQ21">
        <f>'3. Frail population'!BQ3</f>
        <v>66</v>
      </c>
      <c r="BR21">
        <f>'3. Frail population'!BR3</f>
        <v>67</v>
      </c>
      <c r="BS21">
        <f>'3. Frail population'!BS3</f>
        <v>68</v>
      </c>
      <c r="BT21">
        <f>'3. Frail population'!BT3</f>
        <v>69</v>
      </c>
      <c r="BU21">
        <f>'3. Frail population'!BU3</f>
        <v>70</v>
      </c>
      <c r="BV21">
        <f>'3. Frail population'!BV3</f>
        <v>71</v>
      </c>
      <c r="BW21">
        <f>'3. Frail population'!BW3</f>
        <v>72</v>
      </c>
      <c r="BX21">
        <f>'3. Frail population'!BX3</f>
        <v>73</v>
      </c>
      <c r="BY21">
        <f>'3. Frail population'!BY3</f>
        <v>74</v>
      </c>
      <c r="BZ21">
        <f>'3. Frail population'!BZ3</f>
        <v>75</v>
      </c>
      <c r="CA21">
        <f>'3. Frail population'!CA3</f>
        <v>76</v>
      </c>
      <c r="CB21">
        <f>'3. Frail population'!CB3</f>
        <v>77</v>
      </c>
      <c r="CC21">
        <f>'3. Frail population'!CC3</f>
        <v>78</v>
      </c>
      <c r="CD21">
        <f>'3. Frail population'!CD3</f>
        <v>79</v>
      </c>
      <c r="CE21">
        <f>'3. Frail population'!CE3</f>
        <v>80</v>
      </c>
      <c r="CF21">
        <f>'3. Frail population'!CF3</f>
        <v>81</v>
      </c>
      <c r="CG21">
        <f>'3. Frail population'!CG3</f>
        <v>82</v>
      </c>
      <c r="CH21">
        <f>'3. Frail population'!CH3</f>
        <v>83</v>
      </c>
      <c r="CI21">
        <f>'3. Frail population'!CI3</f>
        <v>84</v>
      </c>
      <c r="CJ21">
        <f>'3. Frail population'!CJ3</f>
        <v>85</v>
      </c>
      <c r="CK21">
        <f>'3. Frail population'!CK3</f>
        <v>86</v>
      </c>
      <c r="CL21">
        <f>'3. Frail population'!CL3</f>
        <v>87</v>
      </c>
      <c r="CM21">
        <f>'3. Frail population'!CM3</f>
        <v>88</v>
      </c>
      <c r="CN21">
        <f>'3. Frail population'!CN3</f>
        <v>89</v>
      </c>
      <c r="CO21">
        <f>'3. Frail population'!CO3</f>
        <v>90</v>
      </c>
      <c r="CP21">
        <f>'3. Frail population'!CP3</f>
        <v>91</v>
      </c>
      <c r="CQ21">
        <f>'3. Frail population'!CQ3</f>
        <v>92</v>
      </c>
      <c r="CR21">
        <f>'3. Frail population'!CR3</f>
        <v>93</v>
      </c>
      <c r="CS21">
        <f>'3. Frail population'!CS3</f>
        <v>94</v>
      </c>
      <c r="CT21">
        <f>'3. Frail population'!CT3</f>
        <v>95</v>
      </c>
      <c r="CU21">
        <f>'3. Frail population'!CU3</f>
        <v>96</v>
      </c>
      <c r="CV21">
        <f>'3. Frail population'!CV3</f>
        <v>97</v>
      </c>
      <c r="CW21">
        <f>'3. Frail population'!CW3</f>
        <v>98</v>
      </c>
      <c r="CX21">
        <f>'3. Frail population'!CX3</f>
        <v>99</v>
      </c>
      <c r="CY21">
        <f>'3. Frail population'!CY3</f>
        <v>100</v>
      </c>
    </row>
    <row r="22" spans="1:103" x14ac:dyDescent="0.45">
      <c r="A22" t="str">
        <f>'3. Frail population'!A6</f>
        <v>Frail Population.frail diagnosed[Chinese, male, age]</v>
      </c>
      <c r="B22">
        <f>'3. Frail population'!B6</f>
        <v>0</v>
      </c>
      <c r="C22">
        <f>'3. Frail population'!C6</f>
        <v>0</v>
      </c>
      <c r="D22">
        <f>'3. Frail population'!D6</f>
        <v>0</v>
      </c>
      <c r="E22">
        <f>'3. Frail population'!E6</f>
        <v>0</v>
      </c>
      <c r="F22">
        <f>'3. Frail population'!F6</f>
        <v>0</v>
      </c>
      <c r="G22">
        <f>'3. Frail population'!G6</f>
        <v>0</v>
      </c>
      <c r="H22">
        <f>'3. Frail population'!H6</f>
        <v>0</v>
      </c>
      <c r="I22">
        <f>'3. Frail population'!I6</f>
        <v>0</v>
      </c>
      <c r="J22">
        <f>'3. Frail population'!J6</f>
        <v>0</v>
      </c>
      <c r="K22">
        <f>'3. Frail population'!K6</f>
        <v>0</v>
      </c>
      <c r="L22">
        <f>'3. Frail population'!L6</f>
        <v>0</v>
      </c>
      <c r="M22">
        <f>'3. Frail population'!M6</f>
        <v>0</v>
      </c>
      <c r="N22">
        <f>'3. Frail population'!N6</f>
        <v>0</v>
      </c>
      <c r="O22">
        <f>'3. Frail population'!O6</f>
        <v>0</v>
      </c>
      <c r="P22">
        <f>'3. Frail population'!P6</f>
        <v>0</v>
      </c>
      <c r="Q22">
        <f>'3. Frail population'!Q6</f>
        <v>0</v>
      </c>
      <c r="R22">
        <f>'3. Frail population'!R6</f>
        <v>0</v>
      </c>
      <c r="S22">
        <f>'3. Frail population'!S6</f>
        <v>0</v>
      </c>
      <c r="T22">
        <f>'3. Frail population'!T6</f>
        <v>0</v>
      </c>
      <c r="U22">
        <f>'3. Frail population'!U6</f>
        <v>0</v>
      </c>
      <c r="V22">
        <f>'3. Frail population'!V6</f>
        <v>0</v>
      </c>
      <c r="W22">
        <f>'3. Frail population'!W6</f>
        <v>0</v>
      </c>
      <c r="X22">
        <f>'3. Frail population'!X6</f>
        <v>0</v>
      </c>
      <c r="Y22">
        <f>'3. Frail population'!Y6</f>
        <v>0</v>
      </c>
      <c r="Z22">
        <f>'3. Frail population'!Z6</f>
        <v>0</v>
      </c>
      <c r="AA22">
        <f>'3. Frail population'!AA6</f>
        <v>0</v>
      </c>
      <c r="AB22">
        <f>'3. Frail population'!AB6</f>
        <v>0</v>
      </c>
      <c r="AC22">
        <f>'3. Frail population'!AC6</f>
        <v>0</v>
      </c>
      <c r="AD22">
        <f>'3. Frail population'!AD6</f>
        <v>0</v>
      </c>
      <c r="AE22">
        <f>'3. Frail population'!AE6</f>
        <v>0</v>
      </c>
      <c r="AF22">
        <f>'3. Frail population'!AF6</f>
        <v>0</v>
      </c>
      <c r="AG22">
        <f>'3. Frail population'!AG6</f>
        <v>0</v>
      </c>
      <c r="AH22">
        <f>'3. Frail population'!AH6</f>
        <v>0</v>
      </c>
      <c r="AI22">
        <f>'3. Frail population'!AI6</f>
        <v>0</v>
      </c>
      <c r="AJ22">
        <f>'3. Frail population'!AJ6</f>
        <v>0</v>
      </c>
      <c r="AK22">
        <f>'3. Frail population'!AK6</f>
        <v>0</v>
      </c>
      <c r="AL22">
        <f>'3. Frail population'!AL6</f>
        <v>0</v>
      </c>
      <c r="AM22">
        <f>'3. Frail population'!AM6</f>
        <v>0</v>
      </c>
      <c r="AN22">
        <f>'3. Frail population'!AN6</f>
        <v>0</v>
      </c>
      <c r="AO22">
        <f>'3. Frail population'!AO6</f>
        <v>0</v>
      </c>
      <c r="AP22">
        <f>'3. Frail population'!AP6</f>
        <v>0</v>
      </c>
      <c r="AQ22">
        <f>'3. Frail population'!AQ6</f>
        <v>0</v>
      </c>
      <c r="AR22">
        <f>'3. Frail population'!AR6</f>
        <v>0</v>
      </c>
      <c r="AS22">
        <f>'3. Frail population'!AS6</f>
        <v>0</v>
      </c>
      <c r="AT22">
        <f>'3. Frail population'!AT6</f>
        <v>0</v>
      </c>
      <c r="AU22">
        <f>'3. Frail population'!AU6</f>
        <v>0</v>
      </c>
      <c r="AV22">
        <f>'3. Frail population'!AV6</f>
        <v>0</v>
      </c>
      <c r="AW22">
        <f>'3. Frail population'!AW6</f>
        <v>0</v>
      </c>
      <c r="AX22">
        <f>'3. Frail population'!AX6</f>
        <v>0</v>
      </c>
      <c r="AY22">
        <f>'3. Frail population'!AY6</f>
        <v>0</v>
      </c>
      <c r="AZ22">
        <f>'3. Frail population'!AZ6</f>
        <v>0</v>
      </c>
      <c r="BA22">
        <f>'3. Frail population'!BA6</f>
        <v>0</v>
      </c>
      <c r="BB22">
        <f>'3. Frail population'!BB6</f>
        <v>0</v>
      </c>
      <c r="BC22">
        <f>'3. Frail population'!BC6</f>
        <v>0</v>
      </c>
      <c r="BD22">
        <f>'3. Frail population'!BD6</f>
        <v>0</v>
      </c>
      <c r="BE22">
        <f>'3. Frail population'!BE6</f>
        <v>0</v>
      </c>
      <c r="BF22">
        <f>'3. Frail population'!BF6</f>
        <v>0</v>
      </c>
      <c r="BG22">
        <f>'3. Frail population'!BG6</f>
        <v>0</v>
      </c>
      <c r="BH22">
        <f>'3. Frail population'!BH6</f>
        <v>0</v>
      </c>
      <c r="BI22">
        <f>'3. Frail population'!BI6</f>
        <v>0</v>
      </c>
      <c r="BJ22">
        <f>'3. Frail population'!BJ6</f>
        <v>0</v>
      </c>
      <c r="BK22">
        <f>'3. Frail population'!BK6</f>
        <v>0</v>
      </c>
      <c r="BL22">
        <f>'3. Frail population'!BL6</f>
        <v>0</v>
      </c>
      <c r="BM22">
        <f>'3. Frail population'!BM6</f>
        <v>0</v>
      </c>
      <c r="BN22">
        <f>'3. Frail population'!BN6</f>
        <v>0</v>
      </c>
      <c r="BO22">
        <f>'3. Frail population'!BO6</f>
        <v>0</v>
      </c>
      <c r="BP22">
        <f>'3. Frail population'!BP6</f>
        <v>0</v>
      </c>
      <c r="BQ22">
        <f>'3. Frail population'!BQ6</f>
        <v>0</v>
      </c>
      <c r="BR22">
        <f>'3. Frail population'!BR6</f>
        <v>0</v>
      </c>
      <c r="BS22">
        <f>'3. Frail population'!BS6</f>
        <v>0</v>
      </c>
      <c r="BT22">
        <f>'3. Frail population'!BT6</f>
        <v>0</v>
      </c>
      <c r="BU22">
        <f>'3. Frail population'!BU6</f>
        <v>0</v>
      </c>
      <c r="BV22">
        <f>'3. Frail population'!BV6</f>
        <v>0</v>
      </c>
      <c r="BW22">
        <f>'3. Frail population'!BW6</f>
        <v>0</v>
      </c>
      <c r="BX22">
        <f>'3. Frail population'!BX6</f>
        <v>0</v>
      </c>
      <c r="BY22">
        <f>'3. Frail population'!BY6</f>
        <v>0</v>
      </c>
      <c r="BZ22">
        <f>'3. Frail population'!BZ6</f>
        <v>0</v>
      </c>
      <c r="CA22">
        <f>'3. Frail population'!CA6</f>
        <v>0</v>
      </c>
      <c r="CB22">
        <f>'3. Frail population'!CB6</f>
        <v>0</v>
      </c>
      <c r="CC22">
        <f>'3. Frail population'!CC6</f>
        <v>0</v>
      </c>
      <c r="CD22">
        <f>'3. Frail population'!CD6</f>
        <v>0</v>
      </c>
      <c r="CE22">
        <f>'3. Frail population'!CE6</f>
        <v>0</v>
      </c>
      <c r="CF22">
        <f>'3. Frail population'!CF6</f>
        <v>0</v>
      </c>
      <c r="CG22">
        <f>'3. Frail population'!CG6</f>
        <v>0</v>
      </c>
      <c r="CH22">
        <f>'3. Frail population'!CH6</f>
        <v>0</v>
      </c>
      <c r="CI22">
        <f>'3. Frail population'!CI6</f>
        <v>0</v>
      </c>
      <c r="CJ22">
        <f>'3. Frail population'!CJ6</f>
        <v>0</v>
      </c>
      <c r="CK22">
        <f>'3. Frail population'!CK6</f>
        <v>0</v>
      </c>
      <c r="CL22">
        <f>'3. Frail population'!CL6</f>
        <v>0</v>
      </c>
      <c r="CM22">
        <f>'3. Frail population'!CM6</f>
        <v>0</v>
      </c>
      <c r="CN22">
        <f>'3. Frail population'!CN6</f>
        <v>0</v>
      </c>
      <c r="CO22">
        <f>'3. Frail population'!CO6</f>
        <v>0</v>
      </c>
      <c r="CP22">
        <f>'3. Frail population'!CP6</f>
        <v>0</v>
      </c>
      <c r="CQ22">
        <f>'3. Frail population'!CQ6</f>
        <v>0</v>
      </c>
      <c r="CR22">
        <f>'3. Frail population'!CR6</f>
        <v>0</v>
      </c>
      <c r="CS22">
        <f>'3. Frail population'!CS6</f>
        <v>0</v>
      </c>
      <c r="CT22">
        <f>'3. Frail population'!CT6</f>
        <v>0</v>
      </c>
      <c r="CU22">
        <f>'3. Frail population'!CU6</f>
        <v>0</v>
      </c>
      <c r="CV22">
        <f>'3. Frail population'!CV6</f>
        <v>0</v>
      </c>
      <c r="CW22">
        <f>'3. Frail population'!CW6</f>
        <v>0</v>
      </c>
      <c r="CX22">
        <f>'3. Frail population'!CX6</f>
        <v>0</v>
      </c>
      <c r="CY22">
        <f>'3. Frail population'!CY6</f>
        <v>0</v>
      </c>
    </row>
    <row r="23" spans="1:103" x14ac:dyDescent="0.45">
      <c r="A23" t="str">
        <f>'3. Frail population'!A7</f>
        <v>Frail Population.frail diagnosed[Chinese, female, age]</v>
      </c>
      <c r="B23">
        <f>'3. Frail population'!B7</f>
        <v>0</v>
      </c>
      <c r="C23">
        <f>'3. Frail population'!C7</f>
        <v>0</v>
      </c>
      <c r="D23">
        <f>'3. Frail population'!D7</f>
        <v>0</v>
      </c>
      <c r="E23">
        <f>'3. Frail population'!E7</f>
        <v>0</v>
      </c>
      <c r="F23">
        <f>'3. Frail population'!F7</f>
        <v>0</v>
      </c>
      <c r="G23">
        <f>'3. Frail population'!G7</f>
        <v>0</v>
      </c>
      <c r="H23">
        <f>'3. Frail population'!H7</f>
        <v>0</v>
      </c>
      <c r="I23">
        <f>'3. Frail population'!I7</f>
        <v>0</v>
      </c>
      <c r="J23">
        <f>'3. Frail population'!J7</f>
        <v>0</v>
      </c>
      <c r="K23">
        <f>'3. Frail population'!K7</f>
        <v>0</v>
      </c>
      <c r="L23">
        <f>'3. Frail population'!L7</f>
        <v>0</v>
      </c>
      <c r="M23">
        <f>'3. Frail population'!M7</f>
        <v>0</v>
      </c>
      <c r="N23">
        <f>'3. Frail population'!N7</f>
        <v>0</v>
      </c>
      <c r="O23">
        <f>'3. Frail population'!O7</f>
        <v>0</v>
      </c>
      <c r="P23">
        <f>'3. Frail population'!P7</f>
        <v>0</v>
      </c>
      <c r="Q23">
        <f>'3. Frail population'!Q7</f>
        <v>0</v>
      </c>
      <c r="R23">
        <f>'3. Frail population'!R7</f>
        <v>0</v>
      </c>
      <c r="S23">
        <f>'3. Frail population'!S7</f>
        <v>0</v>
      </c>
      <c r="T23">
        <f>'3. Frail population'!T7</f>
        <v>0</v>
      </c>
      <c r="U23">
        <f>'3. Frail population'!U7</f>
        <v>0</v>
      </c>
      <c r="V23">
        <f>'3. Frail population'!V7</f>
        <v>0</v>
      </c>
      <c r="W23">
        <f>'3. Frail population'!W7</f>
        <v>0</v>
      </c>
      <c r="X23">
        <f>'3. Frail population'!X7</f>
        <v>0</v>
      </c>
      <c r="Y23">
        <f>'3. Frail population'!Y7</f>
        <v>0</v>
      </c>
      <c r="Z23">
        <f>'3. Frail population'!Z7</f>
        <v>0</v>
      </c>
      <c r="AA23">
        <f>'3. Frail population'!AA7</f>
        <v>0</v>
      </c>
      <c r="AB23">
        <f>'3. Frail population'!AB7</f>
        <v>0</v>
      </c>
      <c r="AC23">
        <f>'3. Frail population'!AC7</f>
        <v>0</v>
      </c>
      <c r="AD23">
        <f>'3. Frail population'!AD7</f>
        <v>0</v>
      </c>
      <c r="AE23">
        <f>'3. Frail population'!AE7</f>
        <v>0</v>
      </c>
      <c r="AF23">
        <f>'3. Frail population'!AF7</f>
        <v>0</v>
      </c>
      <c r="AG23">
        <f>'3. Frail population'!AG7</f>
        <v>0</v>
      </c>
      <c r="AH23">
        <f>'3. Frail population'!AH7</f>
        <v>0</v>
      </c>
      <c r="AI23">
        <f>'3. Frail population'!AI7</f>
        <v>0</v>
      </c>
      <c r="AJ23">
        <f>'3. Frail population'!AJ7</f>
        <v>0</v>
      </c>
      <c r="AK23">
        <f>'3. Frail population'!AK7</f>
        <v>0</v>
      </c>
      <c r="AL23">
        <f>'3. Frail population'!AL7</f>
        <v>0</v>
      </c>
      <c r="AM23">
        <f>'3. Frail population'!AM7</f>
        <v>0</v>
      </c>
      <c r="AN23">
        <f>'3. Frail population'!AN7</f>
        <v>0</v>
      </c>
      <c r="AO23">
        <f>'3. Frail population'!AO7</f>
        <v>0</v>
      </c>
      <c r="AP23">
        <f>'3. Frail population'!AP7</f>
        <v>0</v>
      </c>
      <c r="AQ23">
        <f>'3. Frail population'!AQ7</f>
        <v>0</v>
      </c>
      <c r="AR23">
        <f>'3. Frail population'!AR7</f>
        <v>0</v>
      </c>
      <c r="AS23">
        <f>'3. Frail population'!AS7</f>
        <v>0</v>
      </c>
      <c r="AT23">
        <f>'3. Frail population'!AT7</f>
        <v>0</v>
      </c>
      <c r="AU23">
        <f>'3. Frail population'!AU7</f>
        <v>0</v>
      </c>
      <c r="AV23">
        <f>'3. Frail population'!AV7</f>
        <v>0</v>
      </c>
      <c r="AW23">
        <f>'3. Frail population'!AW7</f>
        <v>0</v>
      </c>
      <c r="AX23">
        <f>'3. Frail population'!AX7</f>
        <v>0</v>
      </c>
      <c r="AY23">
        <f>'3. Frail population'!AY7</f>
        <v>0</v>
      </c>
      <c r="AZ23">
        <f>'3. Frail population'!AZ7</f>
        <v>0</v>
      </c>
      <c r="BA23">
        <f>'3. Frail population'!BA7</f>
        <v>0</v>
      </c>
      <c r="BB23">
        <f>'3. Frail population'!BB7</f>
        <v>0</v>
      </c>
      <c r="BC23">
        <f>'3. Frail population'!BC7</f>
        <v>0</v>
      </c>
      <c r="BD23">
        <f>'3. Frail population'!BD7</f>
        <v>0</v>
      </c>
      <c r="BE23">
        <f>'3. Frail population'!BE7</f>
        <v>0</v>
      </c>
      <c r="BF23">
        <f>'3. Frail population'!BF7</f>
        <v>0</v>
      </c>
      <c r="BG23">
        <f>'3. Frail population'!BG7</f>
        <v>0</v>
      </c>
      <c r="BH23">
        <f>'3. Frail population'!BH7</f>
        <v>0</v>
      </c>
      <c r="BI23">
        <f>'3. Frail population'!BI7</f>
        <v>0</v>
      </c>
      <c r="BJ23">
        <f>'3. Frail population'!BJ7</f>
        <v>0</v>
      </c>
      <c r="BK23">
        <f>'3. Frail population'!BK7</f>
        <v>0</v>
      </c>
      <c r="BL23">
        <f>'3. Frail population'!BL7</f>
        <v>0</v>
      </c>
      <c r="BM23">
        <f>'3. Frail population'!BM7</f>
        <v>0</v>
      </c>
      <c r="BN23">
        <f>'3. Frail population'!BN7</f>
        <v>0</v>
      </c>
      <c r="BO23">
        <f>'3. Frail population'!BO7</f>
        <v>0</v>
      </c>
      <c r="BP23">
        <f>'3. Frail population'!BP7</f>
        <v>0</v>
      </c>
      <c r="BQ23">
        <f>'3. Frail population'!BQ7</f>
        <v>0</v>
      </c>
      <c r="BR23">
        <f>'3. Frail population'!BR7</f>
        <v>0</v>
      </c>
      <c r="BS23">
        <f>'3. Frail population'!BS7</f>
        <v>0</v>
      </c>
      <c r="BT23">
        <f>'3. Frail population'!BT7</f>
        <v>0</v>
      </c>
      <c r="BU23">
        <f>'3. Frail population'!BU7</f>
        <v>0</v>
      </c>
      <c r="BV23">
        <f>'3. Frail population'!BV7</f>
        <v>0</v>
      </c>
      <c r="BW23">
        <f>'3. Frail population'!BW7</f>
        <v>0</v>
      </c>
      <c r="BX23">
        <f>'3. Frail population'!BX7</f>
        <v>0</v>
      </c>
      <c r="BY23">
        <f>'3. Frail population'!BY7</f>
        <v>0</v>
      </c>
      <c r="BZ23">
        <f>'3. Frail population'!BZ7</f>
        <v>0</v>
      </c>
      <c r="CA23">
        <f>'3. Frail population'!CA7</f>
        <v>0</v>
      </c>
      <c r="CB23">
        <f>'3. Frail population'!CB7</f>
        <v>0</v>
      </c>
      <c r="CC23">
        <f>'3. Frail population'!CC7</f>
        <v>0</v>
      </c>
      <c r="CD23">
        <f>'3. Frail population'!CD7</f>
        <v>0</v>
      </c>
      <c r="CE23">
        <f>'3. Frail population'!CE7</f>
        <v>0</v>
      </c>
      <c r="CF23">
        <f>'3. Frail population'!CF7</f>
        <v>0</v>
      </c>
      <c r="CG23">
        <f>'3. Frail population'!CG7</f>
        <v>0</v>
      </c>
      <c r="CH23">
        <f>'3. Frail population'!CH7</f>
        <v>0</v>
      </c>
      <c r="CI23">
        <f>'3. Frail population'!CI7</f>
        <v>0</v>
      </c>
      <c r="CJ23">
        <f>'3. Frail population'!CJ7</f>
        <v>0</v>
      </c>
      <c r="CK23">
        <f>'3. Frail population'!CK7</f>
        <v>0</v>
      </c>
      <c r="CL23">
        <f>'3. Frail population'!CL7</f>
        <v>0</v>
      </c>
      <c r="CM23">
        <f>'3. Frail population'!CM7</f>
        <v>0</v>
      </c>
      <c r="CN23">
        <f>'3. Frail population'!CN7</f>
        <v>0</v>
      </c>
      <c r="CO23">
        <f>'3. Frail population'!CO7</f>
        <v>0</v>
      </c>
      <c r="CP23">
        <f>'3. Frail population'!CP7</f>
        <v>0</v>
      </c>
      <c r="CQ23">
        <f>'3. Frail population'!CQ7</f>
        <v>0</v>
      </c>
      <c r="CR23">
        <f>'3. Frail population'!CR7</f>
        <v>0</v>
      </c>
      <c r="CS23">
        <f>'3. Frail population'!CS7</f>
        <v>0</v>
      </c>
      <c r="CT23">
        <f>'3. Frail population'!CT7</f>
        <v>0</v>
      </c>
      <c r="CU23">
        <f>'3. Frail population'!CU7</f>
        <v>0</v>
      </c>
      <c r="CV23">
        <f>'3. Frail population'!CV7</f>
        <v>0</v>
      </c>
      <c r="CW23">
        <f>'3. Frail population'!CW7</f>
        <v>0</v>
      </c>
      <c r="CX23">
        <f>'3. Frail population'!CX7</f>
        <v>0</v>
      </c>
      <c r="CY23">
        <f>'3. Frail population'!CY7</f>
        <v>0</v>
      </c>
    </row>
    <row r="24" spans="1:103" x14ac:dyDescent="0.45">
      <c r="A24" t="str">
        <f>'3. Frail population'!A8</f>
        <v>Frail Population.frail diagnosed[Malay, male, age]</v>
      </c>
      <c r="B24">
        <f>'3. Frail population'!B8</f>
        <v>0</v>
      </c>
      <c r="C24">
        <f>'3. Frail population'!C8</f>
        <v>0</v>
      </c>
      <c r="D24">
        <f>'3. Frail population'!D8</f>
        <v>0</v>
      </c>
      <c r="E24">
        <f>'3. Frail population'!E8</f>
        <v>0</v>
      </c>
      <c r="F24">
        <f>'3. Frail population'!F8</f>
        <v>0</v>
      </c>
      <c r="G24">
        <f>'3. Frail population'!G8</f>
        <v>0</v>
      </c>
      <c r="H24">
        <f>'3. Frail population'!H8</f>
        <v>0</v>
      </c>
      <c r="I24">
        <f>'3. Frail population'!I8</f>
        <v>0</v>
      </c>
      <c r="J24">
        <f>'3. Frail population'!J8</f>
        <v>0</v>
      </c>
      <c r="K24">
        <f>'3. Frail population'!K8</f>
        <v>0</v>
      </c>
      <c r="L24">
        <f>'3. Frail population'!L8</f>
        <v>0</v>
      </c>
      <c r="M24">
        <f>'3. Frail population'!M8</f>
        <v>0</v>
      </c>
      <c r="N24">
        <f>'3. Frail population'!N8</f>
        <v>0</v>
      </c>
      <c r="O24">
        <f>'3. Frail population'!O8</f>
        <v>0</v>
      </c>
      <c r="P24">
        <f>'3. Frail population'!P8</f>
        <v>0</v>
      </c>
      <c r="Q24">
        <f>'3. Frail population'!Q8</f>
        <v>0</v>
      </c>
      <c r="R24">
        <f>'3. Frail population'!R8</f>
        <v>0</v>
      </c>
      <c r="S24">
        <f>'3. Frail population'!S8</f>
        <v>0</v>
      </c>
      <c r="T24">
        <f>'3. Frail population'!T8</f>
        <v>0</v>
      </c>
      <c r="U24">
        <f>'3. Frail population'!U8</f>
        <v>0</v>
      </c>
      <c r="V24">
        <f>'3. Frail population'!V8</f>
        <v>0</v>
      </c>
      <c r="W24">
        <f>'3. Frail population'!W8</f>
        <v>0</v>
      </c>
      <c r="X24">
        <f>'3. Frail population'!X8</f>
        <v>0</v>
      </c>
      <c r="Y24">
        <f>'3. Frail population'!Y8</f>
        <v>0</v>
      </c>
      <c r="Z24">
        <f>'3. Frail population'!Z8</f>
        <v>0</v>
      </c>
      <c r="AA24">
        <f>'3. Frail population'!AA8</f>
        <v>0</v>
      </c>
      <c r="AB24">
        <f>'3. Frail population'!AB8</f>
        <v>0</v>
      </c>
      <c r="AC24">
        <f>'3. Frail population'!AC8</f>
        <v>0</v>
      </c>
      <c r="AD24">
        <f>'3. Frail population'!AD8</f>
        <v>0</v>
      </c>
      <c r="AE24">
        <f>'3. Frail population'!AE8</f>
        <v>0</v>
      </c>
      <c r="AF24">
        <f>'3. Frail population'!AF8</f>
        <v>0</v>
      </c>
      <c r="AG24">
        <f>'3. Frail population'!AG8</f>
        <v>0</v>
      </c>
      <c r="AH24">
        <f>'3. Frail population'!AH8</f>
        <v>0</v>
      </c>
      <c r="AI24">
        <f>'3. Frail population'!AI8</f>
        <v>0</v>
      </c>
      <c r="AJ24">
        <f>'3. Frail population'!AJ8</f>
        <v>0</v>
      </c>
      <c r="AK24">
        <f>'3. Frail population'!AK8</f>
        <v>0</v>
      </c>
      <c r="AL24">
        <f>'3. Frail population'!AL8</f>
        <v>0</v>
      </c>
      <c r="AM24">
        <f>'3. Frail population'!AM8</f>
        <v>0</v>
      </c>
      <c r="AN24">
        <f>'3. Frail population'!AN8</f>
        <v>0</v>
      </c>
      <c r="AO24">
        <f>'3. Frail population'!AO8</f>
        <v>0</v>
      </c>
      <c r="AP24">
        <f>'3. Frail population'!AP8</f>
        <v>0</v>
      </c>
      <c r="AQ24">
        <f>'3. Frail population'!AQ8</f>
        <v>0</v>
      </c>
      <c r="AR24">
        <f>'3. Frail population'!AR8</f>
        <v>0</v>
      </c>
      <c r="AS24">
        <f>'3. Frail population'!AS8</f>
        <v>0</v>
      </c>
      <c r="AT24">
        <f>'3. Frail population'!AT8</f>
        <v>0</v>
      </c>
      <c r="AU24">
        <f>'3. Frail population'!AU8</f>
        <v>0</v>
      </c>
      <c r="AV24">
        <f>'3. Frail population'!AV8</f>
        <v>0</v>
      </c>
      <c r="AW24">
        <f>'3. Frail population'!AW8</f>
        <v>0</v>
      </c>
      <c r="AX24">
        <f>'3. Frail population'!AX8</f>
        <v>0</v>
      </c>
      <c r="AY24">
        <f>'3. Frail population'!AY8</f>
        <v>0</v>
      </c>
      <c r="AZ24">
        <f>'3. Frail population'!AZ8</f>
        <v>0</v>
      </c>
      <c r="BA24">
        <f>'3. Frail population'!BA8</f>
        <v>0</v>
      </c>
      <c r="BB24">
        <f>'3. Frail population'!BB8</f>
        <v>0</v>
      </c>
      <c r="BC24">
        <f>'3. Frail population'!BC8</f>
        <v>0</v>
      </c>
      <c r="BD24">
        <f>'3. Frail population'!BD8</f>
        <v>0</v>
      </c>
      <c r="BE24">
        <f>'3. Frail population'!BE8</f>
        <v>0</v>
      </c>
      <c r="BF24">
        <f>'3. Frail population'!BF8</f>
        <v>0</v>
      </c>
      <c r="BG24">
        <f>'3. Frail population'!BG8</f>
        <v>0</v>
      </c>
      <c r="BH24">
        <f>'3. Frail population'!BH8</f>
        <v>0</v>
      </c>
      <c r="BI24">
        <f>'3. Frail population'!BI8</f>
        <v>0</v>
      </c>
      <c r="BJ24">
        <f>'3. Frail population'!BJ8</f>
        <v>0</v>
      </c>
      <c r="BK24">
        <f>'3. Frail population'!BK8</f>
        <v>0</v>
      </c>
      <c r="BL24">
        <f>'3. Frail population'!BL8</f>
        <v>0</v>
      </c>
      <c r="BM24">
        <f>'3. Frail population'!BM8</f>
        <v>0</v>
      </c>
      <c r="BN24">
        <f>'3. Frail population'!BN8</f>
        <v>0</v>
      </c>
      <c r="BO24">
        <f>'3. Frail population'!BO8</f>
        <v>0</v>
      </c>
      <c r="BP24">
        <f>'3. Frail population'!BP8</f>
        <v>0</v>
      </c>
      <c r="BQ24">
        <f>'3. Frail population'!BQ8</f>
        <v>0</v>
      </c>
      <c r="BR24">
        <f>'3. Frail population'!BR8</f>
        <v>0</v>
      </c>
      <c r="BS24">
        <f>'3. Frail population'!BS8</f>
        <v>0</v>
      </c>
      <c r="BT24">
        <f>'3. Frail population'!BT8</f>
        <v>0</v>
      </c>
      <c r="BU24">
        <f>'3. Frail population'!BU8</f>
        <v>0</v>
      </c>
      <c r="BV24">
        <f>'3. Frail population'!BV8</f>
        <v>0</v>
      </c>
      <c r="BW24">
        <f>'3. Frail population'!BW8</f>
        <v>0</v>
      </c>
      <c r="BX24">
        <f>'3. Frail population'!BX8</f>
        <v>0</v>
      </c>
      <c r="BY24">
        <f>'3. Frail population'!BY8</f>
        <v>0</v>
      </c>
      <c r="BZ24">
        <f>'3. Frail population'!BZ8</f>
        <v>0</v>
      </c>
      <c r="CA24">
        <f>'3. Frail population'!CA8</f>
        <v>0</v>
      </c>
      <c r="CB24">
        <f>'3. Frail population'!CB8</f>
        <v>0</v>
      </c>
      <c r="CC24">
        <f>'3. Frail population'!CC8</f>
        <v>0</v>
      </c>
      <c r="CD24">
        <f>'3. Frail population'!CD8</f>
        <v>0</v>
      </c>
      <c r="CE24">
        <f>'3. Frail population'!CE8</f>
        <v>0</v>
      </c>
      <c r="CF24">
        <f>'3. Frail population'!CF8</f>
        <v>0</v>
      </c>
      <c r="CG24">
        <f>'3. Frail population'!CG8</f>
        <v>0</v>
      </c>
      <c r="CH24">
        <f>'3. Frail population'!CH8</f>
        <v>0</v>
      </c>
      <c r="CI24">
        <f>'3. Frail population'!CI8</f>
        <v>0</v>
      </c>
      <c r="CJ24">
        <f>'3. Frail population'!CJ8</f>
        <v>0</v>
      </c>
      <c r="CK24">
        <f>'3. Frail population'!CK8</f>
        <v>0</v>
      </c>
      <c r="CL24">
        <f>'3. Frail population'!CL8</f>
        <v>0</v>
      </c>
      <c r="CM24">
        <f>'3. Frail population'!CM8</f>
        <v>0</v>
      </c>
      <c r="CN24">
        <f>'3. Frail population'!CN8</f>
        <v>0</v>
      </c>
      <c r="CO24">
        <f>'3. Frail population'!CO8</f>
        <v>0</v>
      </c>
      <c r="CP24">
        <f>'3. Frail population'!CP8</f>
        <v>0</v>
      </c>
      <c r="CQ24">
        <f>'3. Frail population'!CQ8</f>
        <v>0</v>
      </c>
      <c r="CR24">
        <f>'3. Frail population'!CR8</f>
        <v>0</v>
      </c>
      <c r="CS24">
        <f>'3. Frail population'!CS8</f>
        <v>0</v>
      </c>
      <c r="CT24">
        <f>'3. Frail population'!CT8</f>
        <v>0</v>
      </c>
      <c r="CU24">
        <f>'3. Frail population'!CU8</f>
        <v>0</v>
      </c>
      <c r="CV24">
        <f>'3. Frail population'!CV8</f>
        <v>0</v>
      </c>
      <c r="CW24">
        <f>'3. Frail population'!CW8</f>
        <v>0</v>
      </c>
      <c r="CX24">
        <f>'3. Frail population'!CX8</f>
        <v>0</v>
      </c>
      <c r="CY24">
        <f>'3. Frail population'!CY8</f>
        <v>0</v>
      </c>
    </row>
    <row r="25" spans="1:103" x14ac:dyDescent="0.45">
      <c r="A25" t="str">
        <f>'3. Frail population'!A9</f>
        <v>Frail Population.frail diagnosed[Malay, female, age]</v>
      </c>
      <c r="B25">
        <f>'3. Frail population'!B9</f>
        <v>0</v>
      </c>
      <c r="C25">
        <f>'3. Frail population'!C9</f>
        <v>0</v>
      </c>
      <c r="D25">
        <f>'3. Frail population'!D9</f>
        <v>0</v>
      </c>
      <c r="E25">
        <f>'3. Frail population'!E9</f>
        <v>0</v>
      </c>
      <c r="F25">
        <f>'3. Frail population'!F9</f>
        <v>0</v>
      </c>
      <c r="G25">
        <f>'3. Frail population'!G9</f>
        <v>0</v>
      </c>
      <c r="H25">
        <f>'3. Frail population'!H9</f>
        <v>0</v>
      </c>
      <c r="I25">
        <f>'3. Frail population'!I9</f>
        <v>0</v>
      </c>
      <c r="J25">
        <f>'3. Frail population'!J9</f>
        <v>0</v>
      </c>
      <c r="K25">
        <f>'3. Frail population'!K9</f>
        <v>0</v>
      </c>
      <c r="L25">
        <f>'3. Frail population'!L9</f>
        <v>0</v>
      </c>
      <c r="M25">
        <f>'3. Frail population'!M9</f>
        <v>0</v>
      </c>
      <c r="N25">
        <f>'3. Frail population'!N9</f>
        <v>0</v>
      </c>
      <c r="O25">
        <f>'3. Frail population'!O9</f>
        <v>0</v>
      </c>
      <c r="P25">
        <f>'3. Frail population'!P9</f>
        <v>0</v>
      </c>
      <c r="Q25">
        <f>'3. Frail population'!Q9</f>
        <v>0</v>
      </c>
      <c r="R25">
        <f>'3. Frail population'!R9</f>
        <v>0</v>
      </c>
      <c r="S25">
        <f>'3. Frail population'!S9</f>
        <v>0</v>
      </c>
      <c r="T25">
        <f>'3. Frail population'!T9</f>
        <v>0</v>
      </c>
      <c r="U25">
        <f>'3. Frail population'!U9</f>
        <v>0</v>
      </c>
      <c r="V25">
        <f>'3. Frail population'!V9</f>
        <v>0</v>
      </c>
      <c r="W25">
        <f>'3. Frail population'!W9</f>
        <v>0</v>
      </c>
      <c r="X25">
        <f>'3. Frail population'!X9</f>
        <v>0</v>
      </c>
      <c r="Y25">
        <f>'3. Frail population'!Y9</f>
        <v>0</v>
      </c>
      <c r="Z25">
        <f>'3. Frail population'!Z9</f>
        <v>0</v>
      </c>
      <c r="AA25">
        <f>'3. Frail population'!AA9</f>
        <v>0</v>
      </c>
      <c r="AB25">
        <f>'3. Frail population'!AB9</f>
        <v>0</v>
      </c>
      <c r="AC25">
        <f>'3. Frail population'!AC9</f>
        <v>0</v>
      </c>
      <c r="AD25">
        <f>'3. Frail population'!AD9</f>
        <v>0</v>
      </c>
      <c r="AE25">
        <f>'3. Frail population'!AE9</f>
        <v>0</v>
      </c>
      <c r="AF25">
        <f>'3. Frail population'!AF9</f>
        <v>0</v>
      </c>
      <c r="AG25">
        <f>'3. Frail population'!AG9</f>
        <v>0</v>
      </c>
      <c r="AH25">
        <f>'3. Frail population'!AH9</f>
        <v>0</v>
      </c>
      <c r="AI25">
        <f>'3. Frail population'!AI9</f>
        <v>0</v>
      </c>
      <c r="AJ25">
        <f>'3. Frail population'!AJ9</f>
        <v>0</v>
      </c>
      <c r="AK25">
        <f>'3. Frail population'!AK9</f>
        <v>0</v>
      </c>
      <c r="AL25">
        <f>'3. Frail population'!AL9</f>
        <v>0</v>
      </c>
      <c r="AM25">
        <f>'3. Frail population'!AM9</f>
        <v>0</v>
      </c>
      <c r="AN25">
        <f>'3. Frail population'!AN9</f>
        <v>0</v>
      </c>
      <c r="AO25">
        <f>'3. Frail population'!AO9</f>
        <v>0</v>
      </c>
      <c r="AP25">
        <f>'3. Frail population'!AP9</f>
        <v>0</v>
      </c>
      <c r="AQ25">
        <f>'3. Frail population'!AQ9</f>
        <v>0</v>
      </c>
      <c r="AR25">
        <f>'3. Frail population'!AR9</f>
        <v>0</v>
      </c>
      <c r="AS25">
        <f>'3. Frail population'!AS9</f>
        <v>0</v>
      </c>
      <c r="AT25">
        <f>'3. Frail population'!AT9</f>
        <v>0</v>
      </c>
      <c r="AU25">
        <f>'3. Frail population'!AU9</f>
        <v>0</v>
      </c>
      <c r="AV25">
        <f>'3. Frail population'!AV9</f>
        <v>0</v>
      </c>
      <c r="AW25">
        <f>'3. Frail population'!AW9</f>
        <v>0</v>
      </c>
      <c r="AX25">
        <f>'3. Frail population'!AX9</f>
        <v>0</v>
      </c>
      <c r="AY25">
        <f>'3. Frail population'!AY9</f>
        <v>0</v>
      </c>
      <c r="AZ25">
        <f>'3. Frail population'!AZ9</f>
        <v>0</v>
      </c>
      <c r="BA25">
        <f>'3. Frail population'!BA9</f>
        <v>0</v>
      </c>
      <c r="BB25">
        <f>'3. Frail population'!BB9</f>
        <v>0</v>
      </c>
      <c r="BC25">
        <f>'3. Frail population'!BC9</f>
        <v>0</v>
      </c>
      <c r="BD25">
        <f>'3. Frail population'!BD9</f>
        <v>0</v>
      </c>
      <c r="BE25">
        <f>'3. Frail population'!BE9</f>
        <v>0</v>
      </c>
      <c r="BF25">
        <f>'3. Frail population'!BF9</f>
        <v>0</v>
      </c>
      <c r="BG25">
        <f>'3. Frail population'!BG9</f>
        <v>0</v>
      </c>
      <c r="BH25">
        <f>'3. Frail population'!BH9</f>
        <v>0</v>
      </c>
      <c r="BI25">
        <f>'3. Frail population'!BI9</f>
        <v>0</v>
      </c>
      <c r="BJ25">
        <f>'3. Frail population'!BJ9</f>
        <v>0</v>
      </c>
      <c r="BK25">
        <f>'3. Frail population'!BK9</f>
        <v>0</v>
      </c>
      <c r="BL25">
        <f>'3. Frail population'!BL9</f>
        <v>0</v>
      </c>
      <c r="BM25">
        <f>'3. Frail population'!BM9</f>
        <v>0</v>
      </c>
      <c r="BN25">
        <f>'3. Frail population'!BN9</f>
        <v>0</v>
      </c>
      <c r="BO25">
        <f>'3. Frail population'!BO9</f>
        <v>0</v>
      </c>
      <c r="BP25">
        <f>'3. Frail population'!BP9</f>
        <v>0</v>
      </c>
      <c r="BQ25">
        <f>'3. Frail population'!BQ9</f>
        <v>0</v>
      </c>
      <c r="BR25">
        <f>'3. Frail population'!BR9</f>
        <v>0</v>
      </c>
      <c r="BS25">
        <f>'3. Frail population'!BS9</f>
        <v>0</v>
      </c>
      <c r="BT25">
        <f>'3. Frail population'!BT9</f>
        <v>0</v>
      </c>
      <c r="BU25">
        <f>'3. Frail population'!BU9</f>
        <v>0</v>
      </c>
      <c r="BV25">
        <f>'3. Frail population'!BV9</f>
        <v>0</v>
      </c>
      <c r="BW25">
        <f>'3. Frail population'!BW9</f>
        <v>0</v>
      </c>
      <c r="BX25">
        <f>'3. Frail population'!BX9</f>
        <v>0</v>
      </c>
      <c r="BY25">
        <f>'3. Frail population'!BY9</f>
        <v>0</v>
      </c>
      <c r="BZ25">
        <f>'3. Frail population'!BZ9</f>
        <v>0</v>
      </c>
      <c r="CA25">
        <f>'3. Frail population'!CA9</f>
        <v>0</v>
      </c>
      <c r="CB25">
        <f>'3. Frail population'!CB9</f>
        <v>0</v>
      </c>
      <c r="CC25">
        <f>'3. Frail population'!CC9</f>
        <v>0</v>
      </c>
      <c r="CD25">
        <f>'3. Frail population'!CD9</f>
        <v>0</v>
      </c>
      <c r="CE25">
        <f>'3. Frail population'!CE9</f>
        <v>0</v>
      </c>
      <c r="CF25">
        <f>'3. Frail population'!CF9</f>
        <v>0</v>
      </c>
      <c r="CG25">
        <f>'3. Frail population'!CG9</f>
        <v>0</v>
      </c>
      <c r="CH25">
        <f>'3. Frail population'!CH9</f>
        <v>0</v>
      </c>
      <c r="CI25">
        <f>'3. Frail population'!CI9</f>
        <v>0</v>
      </c>
      <c r="CJ25">
        <f>'3. Frail population'!CJ9</f>
        <v>0</v>
      </c>
      <c r="CK25">
        <f>'3. Frail population'!CK9</f>
        <v>0</v>
      </c>
      <c r="CL25">
        <f>'3. Frail population'!CL9</f>
        <v>0</v>
      </c>
      <c r="CM25">
        <f>'3. Frail population'!CM9</f>
        <v>0</v>
      </c>
      <c r="CN25">
        <f>'3. Frail population'!CN9</f>
        <v>0</v>
      </c>
      <c r="CO25">
        <f>'3. Frail population'!CO9</f>
        <v>0</v>
      </c>
      <c r="CP25">
        <f>'3. Frail population'!CP9</f>
        <v>0</v>
      </c>
      <c r="CQ25">
        <f>'3. Frail population'!CQ9</f>
        <v>0</v>
      </c>
      <c r="CR25">
        <f>'3. Frail population'!CR9</f>
        <v>0</v>
      </c>
      <c r="CS25">
        <f>'3. Frail population'!CS9</f>
        <v>0</v>
      </c>
      <c r="CT25">
        <f>'3. Frail population'!CT9</f>
        <v>0</v>
      </c>
      <c r="CU25">
        <f>'3. Frail population'!CU9</f>
        <v>0</v>
      </c>
      <c r="CV25">
        <f>'3. Frail population'!CV9</f>
        <v>0</v>
      </c>
      <c r="CW25">
        <f>'3. Frail population'!CW9</f>
        <v>0</v>
      </c>
      <c r="CX25">
        <f>'3. Frail population'!CX9</f>
        <v>0</v>
      </c>
      <c r="CY25">
        <f>'3. Frail population'!CY9</f>
        <v>0</v>
      </c>
    </row>
    <row r="26" spans="1:103" x14ac:dyDescent="0.45">
      <c r="A26" t="str">
        <f>'3. Frail population'!A10</f>
        <v>Frail Population.frail diagnosed[Indian, male, age]</v>
      </c>
      <c r="B26">
        <f>'3. Frail population'!B10</f>
        <v>0</v>
      </c>
      <c r="C26">
        <f>'3. Frail population'!C10</f>
        <v>0</v>
      </c>
      <c r="D26">
        <f>'3. Frail population'!D10</f>
        <v>0</v>
      </c>
      <c r="E26">
        <f>'3. Frail population'!E10</f>
        <v>0</v>
      </c>
      <c r="F26">
        <f>'3. Frail population'!F10</f>
        <v>0</v>
      </c>
      <c r="G26">
        <f>'3. Frail population'!G10</f>
        <v>0</v>
      </c>
      <c r="H26">
        <f>'3. Frail population'!H10</f>
        <v>0</v>
      </c>
      <c r="I26">
        <f>'3. Frail population'!I10</f>
        <v>0</v>
      </c>
      <c r="J26">
        <f>'3. Frail population'!J10</f>
        <v>0</v>
      </c>
      <c r="K26">
        <f>'3. Frail population'!K10</f>
        <v>0</v>
      </c>
      <c r="L26">
        <f>'3. Frail population'!L10</f>
        <v>0</v>
      </c>
      <c r="M26">
        <f>'3. Frail population'!M10</f>
        <v>0</v>
      </c>
      <c r="N26">
        <f>'3. Frail population'!N10</f>
        <v>0</v>
      </c>
      <c r="O26">
        <f>'3. Frail population'!O10</f>
        <v>0</v>
      </c>
      <c r="P26">
        <f>'3. Frail population'!P10</f>
        <v>0</v>
      </c>
      <c r="Q26">
        <f>'3. Frail population'!Q10</f>
        <v>0</v>
      </c>
      <c r="R26">
        <f>'3. Frail population'!R10</f>
        <v>0</v>
      </c>
      <c r="S26">
        <f>'3. Frail population'!S10</f>
        <v>0</v>
      </c>
      <c r="T26">
        <f>'3. Frail population'!T10</f>
        <v>0</v>
      </c>
      <c r="U26">
        <f>'3. Frail population'!U10</f>
        <v>0</v>
      </c>
      <c r="V26">
        <f>'3. Frail population'!V10</f>
        <v>0</v>
      </c>
      <c r="W26">
        <f>'3. Frail population'!W10</f>
        <v>0</v>
      </c>
      <c r="X26">
        <f>'3. Frail population'!X10</f>
        <v>0</v>
      </c>
      <c r="Y26">
        <f>'3. Frail population'!Y10</f>
        <v>0</v>
      </c>
      <c r="Z26">
        <f>'3. Frail population'!Z10</f>
        <v>0</v>
      </c>
      <c r="AA26">
        <f>'3. Frail population'!AA10</f>
        <v>0</v>
      </c>
      <c r="AB26">
        <f>'3. Frail population'!AB10</f>
        <v>0</v>
      </c>
      <c r="AC26">
        <f>'3. Frail population'!AC10</f>
        <v>0</v>
      </c>
      <c r="AD26">
        <f>'3. Frail population'!AD10</f>
        <v>0</v>
      </c>
      <c r="AE26">
        <f>'3. Frail population'!AE10</f>
        <v>0</v>
      </c>
      <c r="AF26">
        <f>'3. Frail population'!AF10</f>
        <v>0</v>
      </c>
      <c r="AG26">
        <f>'3. Frail population'!AG10</f>
        <v>0</v>
      </c>
      <c r="AH26">
        <f>'3. Frail population'!AH10</f>
        <v>0</v>
      </c>
      <c r="AI26">
        <f>'3. Frail population'!AI10</f>
        <v>0</v>
      </c>
      <c r="AJ26">
        <f>'3. Frail population'!AJ10</f>
        <v>0</v>
      </c>
      <c r="AK26">
        <f>'3. Frail population'!AK10</f>
        <v>0</v>
      </c>
      <c r="AL26">
        <f>'3. Frail population'!AL10</f>
        <v>0</v>
      </c>
      <c r="AM26">
        <f>'3. Frail population'!AM10</f>
        <v>0</v>
      </c>
      <c r="AN26">
        <f>'3. Frail population'!AN10</f>
        <v>0</v>
      </c>
      <c r="AO26">
        <f>'3. Frail population'!AO10</f>
        <v>0</v>
      </c>
      <c r="AP26">
        <f>'3. Frail population'!AP10</f>
        <v>0</v>
      </c>
      <c r="AQ26">
        <f>'3. Frail population'!AQ10</f>
        <v>0</v>
      </c>
      <c r="AR26">
        <f>'3. Frail population'!AR10</f>
        <v>0</v>
      </c>
      <c r="AS26">
        <f>'3. Frail population'!AS10</f>
        <v>0</v>
      </c>
      <c r="AT26">
        <f>'3. Frail population'!AT10</f>
        <v>0</v>
      </c>
      <c r="AU26">
        <f>'3. Frail population'!AU10</f>
        <v>0</v>
      </c>
      <c r="AV26">
        <f>'3. Frail population'!AV10</f>
        <v>0</v>
      </c>
      <c r="AW26">
        <f>'3. Frail population'!AW10</f>
        <v>0</v>
      </c>
      <c r="AX26">
        <f>'3. Frail population'!AX10</f>
        <v>0</v>
      </c>
      <c r="AY26">
        <f>'3. Frail population'!AY10</f>
        <v>0</v>
      </c>
      <c r="AZ26">
        <f>'3. Frail population'!AZ10</f>
        <v>0</v>
      </c>
      <c r="BA26">
        <f>'3. Frail population'!BA10</f>
        <v>0</v>
      </c>
      <c r="BB26">
        <f>'3. Frail population'!BB10</f>
        <v>0</v>
      </c>
      <c r="BC26">
        <f>'3. Frail population'!BC10</f>
        <v>0</v>
      </c>
      <c r="BD26">
        <f>'3. Frail population'!BD10</f>
        <v>0</v>
      </c>
      <c r="BE26">
        <f>'3. Frail population'!BE10</f>
        <v>0</v>
      </c>
      <c r="BF26">
        <f>'3. Frail population'!BF10</f>
        <v>0</v>
      </c>
      <c r="BG26">
        <f>'3. Frail population'!BG10</f>
        <v>0</v>
      </c>
      <c r="BH26">
        <f>'3. Frail population'!BH10</f>
        <v>0</v>
      </c>
      <c r="BI26">
        <f>'3. Frail population'!BI10</f>
        <v>0</v>
      </c>
      <c r="BJ26">
        <f>'3. Frail population'!BJ10</f>
        <v>0</v>
      </c>
      <c r="BK26">
        <f>'3. Frail population'!BK10</f>
        <v>0</v>
      </c>
      <c r="BL26">
        <f>'3. Frail population'!BL10</f>
        <v>0</v>
      </c>
      <c r="BM26">
        <f>'3. Frail population'!BM10</f>
        <v>0</v>
      </c>
      <c r="BN26">
        <f>'3. Frail population'!BN10</f>
        <v>0</v>
      </c>
      <c r="BO26">
        <f>'3. Frail population'!BO10</f>
        <v>0</v>
      </c>
      <c r="BP26">
        <f>'3. Frail population'!BP10</f>
        <v>0</v>
      </c>
      <c r="BQ26">
        <f>'3. Frail population'!BQ10</f>
        <v>0</v>
      </c>
      <c r="BR26">
        <f>'3. Frail population'!BR10</f>
        <v>0</v>
      </c>
      <c r="BS26">
        <f>'3. Frail population'!BS10</f>
        <v>0</v>
      </c>
      <c r="BT26">
        <f>'3. Frail population'!BT10</f>
        <v>0</v>
      </c>
      <c r="BU26">
        <f>'3. Frail population'!BU10</f>
        <v>0</v>
      </c>
      <c r="BV26">
        <f>'3. Frail population'!BV10</f>
        <v>0</v>
      </c>
      <c r="BW26">
        <f>'3. Frail population'!BW10</f>
        <v>0</v>
      </c>
      <c r="BX26">
        <f>'3. Frail population'!BX10</f>
        <v>0</v>
      </c>
      <c r="BY26">
        <f>'3. Frail population'!BY10</f>
        <v>0</v>
      </c>
      <c r="BZ26">
        <f>'3. Frail population'!BZ10</f>
        <v>0</v>
      </c>
      <c r="CA26">
        <f>'3. Frail population'!CA10</f>
        <v>0</v>
      </c>
      <c r="CB26">
        <f>'3. Frail population'!CB10</f>
        <v>0</v>
      </c>
      <c r="CC26">
        <f>'3. Frail population'!CC10</f>
        <v>0</v>
      </c>
      <c r="CD26">
        <f>'3. Frail population'!CD10</f>
        <v>0</v>
      </c>
      <c r="CE26">
        <f>'3. Frail population'!CE10</f>
        <v>0</v>
      </c>
      <c r="CF26">
        <f>'3. Frail population'!CF10</f>
        <v>0</v>
      </c>
      <c r="CG26">
        <f>'3. Frail population'!CG10</f>
        <v>0</v>
      </c>
      <c r="CH26">
        <f>'3. Frail population'!CH10</f>
        <v>0</v>
      </c>
      <c r="CI26">
        <f>'3. Frail population'!CI10</f>
        <v>0</v>
      </c>
      <c r="CJ26">
        <f>'3. Frail population'!CJ10</f>
        <v>0</v>
      </c>
      <c r="CK26">
        <f>'3. Frail population'!CK10</f>
        <v>0</v>
      </c>
      <c r="CL26">
        <f>'3. Frail population'!CL10</f>
        <v>0</v>
      </c>
      <c r="CM26">
        <f>'3. Frail population'!CM10</f>
        <v>0</v>
      </c>
      <c r="CN26">
        <f>'3. Frail population'!CN10</f>
        <v>0</v>
      </c>
      <c r="CO26">
        <f>'3. Frail population'!CO10</f>
        <v>0</v>
      </c>
      <c r="CP26">
        <f>'3. Frail population'!CP10</f>
        <v>0</v>
      </c>
      <c r="CQ26">
        <f>'3. Frail population'!CQ10</f>
        <v>0</v>
      </c>
      <c r="CR26">
        <f>'3. Frail population'!CR10</f>
        <v>0</v>
      </c>
      <c r="CS26">
        <f>'3. Frail population'!CS10</f>
        <v>0</v>
      </c>
      <c r="CT26">
        <f>'3. Frail population'!CT10</f>
        <v>0</v>
      </c>
      <c r="CU26">
        <f>'3. Frail population'!CU10</f>
        <v>0</v>
      </c>
      <c r="CV26">
        <f>'3. Frail population'!CV10</f>
        <v>0</v>
      </c>
      <c r="CW26">
        <f>'3. Frail population'!CW10</f>
        <v>0</v>
      </c>
      <c r="CX26">
        <f>'3. Frail population'!CX10</f>
        <v>0</v>
      </c>
      <c r="CY26">
        <f>'3. Frail population'!CY10</f>
        <v>0</v>
      </c>
    </row>
    <row r="27" spans="1:103" x14ac:dyDescent="0.45">
      <c r="A27" t="str">
        <f>'3. Frail population'!A11</f>
        <v>Frail Population.frail diagnosed[Indian, female, age]</v>
      </c>
      <c r="B27">
        <f>'3. Frail population'!B11</f>
        <v>0</v>
      </c>
      <c r="C27">
        <f>'3. Frail population'!C11</f>
        <v>0</v>
      </c>
      <c r="D27">
        <f>'3. Frail population'!D11</f>
        <v>0</v>
      </c>
      <c r="E27">
        <f>'3. Frail population'!E11</f>
        <v>0</v>
      </c>
      <c r="F27">
        <f>'3. Frail population'!F11</f>
        <v>0</v>
      </c>
      <c r="G27">
        <f>'3. Frail population'!G11</f>
        <v>0</v>
      </c>
      <c r="H27">
        <f>'3. Frail population'!H11</f>
        <v>0</v>
      </c>
      <c r="I27">
        <f>'3. Frail population'!I11</f>
        <v>0</v>
      </c>
      <c r="J27">
        <f>'3. Frail population'!J11</f>
        <v>0</v>
      </c>
      <c r="K27">
        <f>'3. Frail population'!K11</f>
        <v>0</v>
      </c>
      <c r="L27">
        <f>'3. Frail population'!L11</f>
        <v>0</v>
      </c>
      <c r="M27">
        <f>'3. Frail population'!M11</f>
        <v>0</v>
      </c>
      <c r="N27">
        <f>'3. Frail population'!N11</f>
        <v>0</v>
      </c>
      <c r="O27">
        <f>'3. Frail population'!O11</f>
        <v>0</v>
      </c>
      <c r="P27">
        <f>'3. Frail population'!P11</f>
        <v>0</v>
      </c>
      <c r="Q27">
        <f>'3. Frail population'!Q11</f>
        <v>0</v>
      </c>
      <c r="R27">
        <f>'3. Frail population'!R11</f>
        <v>0</v>
      </c>
      <c r="S27">
        <f>'3. Frail population'!S11</f>
        <v>0</v>
      </c>
      <c r="T27">
        <f>'3. Frail population'!T11</f>
        <v>0</v>
      </c>
      <c r="U27">
        <f>'3. Frail population'!U11</f>
        <v>0</v>
      </c>
      <c r="V27">
        <f>'3. Frail population'!V11</f>
        <v>0</v>
      </c>
      <c r="W27">
        <f>'3. Frail population'!W11</f>
        <v>0</v>
      </c>
      <c r="X27">
        <f>'3. Frail population'!X11</f>
        <v>0</v>
      </c>
      <c r="Y27">
        <f>'3. Frail population'!Y11</f>
        <v>0</v>
      </c>
      <c r="Z27">
        <f>'3. Frail population'!Z11</f>
        <v>0</v>
      </c>
      <c r="AA27">
        <f>'3. Frail population'!AA11</f>
        <v>0</v>
      </c>
      <c r="AB27">
        <f>'3. Frail population'!AB11</f>
        <v>0</v>
      </c>
      <c r="AC27">
        <f>'3. Frail population'!AC11</f>
        <v>0</v>
      </c>
      <c r="AD27">
        <f>'3. Frail population'!AD11</f>
        <v>0</v>
      </c>
      <c r="AE27">
        <f>'3. Frail population'!AE11</f>
        <v>0</v>
      </c>
      <c r="AF27">
        <f>'3. Frail population'!AF11</f>
        <v>0</v>
      </c>
      <c r="AG27">
        <f>'3. Frail population'!AG11</f>
        <v>0</v>
      </c>
      <c r="AH27">
        <f>'3. Frail population'!AH11</f>
        <v>0</v>
      </c>
      <c r="AI27">
        <f>'3. Frail population'!AI11</f>
        <v>0</v>
      </c>
      <c r="AJ27">
        <f>'3. Frail population'!AJ11</f>
        <v>0</v>
      </c>
      <c r="AK27">
        <f>'3. Frail population'!AK11</f>
        <v>0</v>
      </c>
      <c r="AL27">
        <f>'3. Frail population'!AL11</f>
        <v>0</v>
      </c>
      <c r="AM27">
        <f>'3. Frail population'!AM11</f>
        <v>0</v>
      </c>
      <c r="AN27">
        <f>'3. Frail population'!AN11</f>
        <v>0</v>
      </c>
      <c r="AO27">
        <f>'3. Frail population'!AO11</f>
        <v>0</v>
      </c>
      <c r="AP27">
        <f>'3. Frail population'!AP11</f>
        <v>0</v>
      </c>
      <c r="AQ27">
        <f>'3. Frail population'!AQ11</f>
        <v>0</v>
      </c>
      <c r="AR27">
        <f>'3. Frail population'!AR11</f>
        <v>0</v>
      </c>
      <c r="AS27">
        <f>'3. Frail population'!AS11</f>
        <v>0</v>
      </c>
      <c r="AT27">
        <f>'3. Frail population'!AT11</f>
        <v>0</v>
      </c>
      <c r="AU27">
        <f>'3. Frail population'!AU11</f>
        <v>0</v>
      </c>
      <c r="AV27">
        <f>'3. Frail population'!AV11</f>
        <v>0</v>
      </c>
      <c r="AW27">
        <f>'3. Frail population'!AW11</f>
        <v>0</v>
      </c>
      <c r="AX27">
        <f>'3. Frail population'!AX11</f>
        <v>0</v>
      </c>
      <c r="AY27">
        <f>'3. Frail population'!AY11</f>
        <v>0</v>
      </c>
      <c r="AZ27">
        <f>'3. Frail population'!AZ11</f>
        <v>0</v>
      </c>
      <c r="BA27">
        <f>'3. Frail population'!BA11</f>
        <v>0</v>
      </c>
      <c r="BB27">
        <f>'3. Frail population'!BB11</f>
        <v>0</v>
      </c>
      <c r="BC27">
        <f>'3. Frail population'!BC11</f>
        <v>0</v>
      </c>
      <c r="BD27">
        <f>'3. Frail population'!BD11</f>
        <v>0</v>
      </c>
      <c r="BE27">
        <f>'3. Frail population'!BE11</f>
        <v>0</v>
      </c>
      <c r="BF27">
        <f>'3. Frail population'!BF11</f>
        <v>0</v>
      </c>
      <c r="BG27">
        <f>'3. Frail population'!BG11</f>
        <v>0</v>
      </c>
      <c r="BH27">
        <f>'3. Frail population'!BH11</f>
        <v>0</v>
      </c>
      <c r="BI27">
        <f>'3. Frail population'!BI11</f>
        <v>0</v>
      </c>
      <c r="BJ27">
        <f>'3. Frail population'!BJ11</f>
        <v>0</v>
      </c>
      <c r="BK27">
        <f>'3. Frail population'!BK11</f>
        <v>0</v>
      </c>
      <c r="BL27">
        <f>'3. Frail population'!BL11</f>
        <v>0</v>
      </c>
      <c r="BM27">
        <f>'3. Frail population'!BM11</f>
        <v>0</v>
      </c>
      <c r="BN27">
        <f>'3. Frail population'!BN11</f>
        <v>0</v>
      </c>
      <c r="BO27">
        <f>'3. Frail population'!BO11</f>
        <v>0</v>
      </c>
      <c r="BP27">
        <f>'3. Frail population'!BP11</f>
        <v>0</v>
      </c>
      <c r="BQ27">
        <f>'3. Frail population'!BQ11</f>
        <v>0</v>
      </c>
      <c r="BR27">
        <f>'3. Frail population'!BR11</f>
        <v>0</v>
      </c>
      <c r="BS27">
        <f>'3. Frail population'!BS11</f>
        <v>0</v>
      </c>
      <c r="BT27">
        <f>'3. Frail population'!BT11</f>
        <v>0</v>
      </c>
      <c r="BU27">
        <f>'3. Frail population'!BU11</f>
        <v>0</v>
      </c>
      <c r="BV27">
        <f>'3. Frail population'!BV11</f>
        <v>0</v>
      </c>
      <c r="BW27">
        <f>'3. Frail population'!BW11</f>
        <v>0</v>
      </c>
      <c r="BX27">
        <f>'3. Frail population'!BX11</f>
        <v>0</v>
      </c>
      <c r="BY27">
        <f>'3. Frail population'!BY11</f>
        <v>0</v>
      </c>
      <c r="BZ27">
        <f>'3. Frail population'!BZ11</f>
        <v>0</v>
      </c>
      <c r="CA27">
        <f>'3. Frail population'!CA11</f>
        <v>0</v>
      </c>
      <c r="CB27">
        <f>'3. Frail population'!CB11</f>
        <v>0</v>
      </c>
      <c r="CC27">
        <f>'3. Frail population'!CC11</f>
        <v>0</v>
      </c>
      <c r="CD27">
        <f>'3. Frail population'!CD11</f>
        <v>0</v>
      </c>
      <c r="CE27">
        <f>'3. Frail population'!CE11</f>
        <v>0</v>
      </c>
      <c r="CF27">
        <f>'3. Frail population'!CF11</f>
        <v>0</v>
      </c>
      <c r="CG27">
        <f>'3. Frail population'!CG11</f>
        <v>0</v>
      </c>
      <c r="CH27">
        <f>'3. Frail population'!CH11</f>
        <v>0</v>
      </c>
      <c r="CI27">
        <f>'3. Frail population'!CI11</f>
        <v>0</v>
      </c>
      <c r="CJ27">
        <f>'3. Frail population'!CJ11</f>
        <v>0</v>
      </c>
      <c r="CK27">
        <f>'3. Frail population'!CK11</f>
        <v>0</v>
      </c>
      <c r="CL27">
        <f>'3. Frail population'!CL11</f>
        <v>0</v>
      </c>
      <c r="CM27">
        <f>'3. Frail population'!CM11</f>
        <v>0</v>
      </c>
      <c r="CN27">
        <f>'3. Frail population'!CN11</f>
        <v>0</v>
      </c>
      <c r="CO27">
        <f>'3. Frail population'!CO11</f>
        <v>0</v>
      </c>
      <c r="CP27">
        <f>'3. Frail population'!CP11</f>
        <v>0</v>
      </c>
      <c r="CQ27">
        <f>'3. Frail population'!CQ11</f>
        <v>0</v>
      </c>
      <c r="CR27">
        <f>'3. Frail population'!CR11</f>
        <v>0</v>
      </c>
      <c r="CS27">
        <f>'3. Frail population'!CS11</f>
        <v>0</v>
      </c>
      <c r="CT27">
        <f>'3. Frail population'!CT11</f>
        <v>0</v>
      </c>
      <c r="CU27">
        <f>'3. Frail population'!CU11</f>
        <v>0</v>
      </c>
      <c r="CV27">
        <f>'3. Frail population'!CV11</f>
        <v>0</v>
      </c>
      <c r="CW27">
        <f>'3. Frail population'!CW11</f>
        <v>0</v>
      </c>
      <c r="CX27">
        <f>'3. Frail population'!CX11</f>
        <v>0</v>
      </c>
      <c r="CY27">
        <f>'3. Frail population'!CY11</f>
        <v>0</v>
      </c>
    </row>
    <row r="28" spans="1:103" x14ac:dyDescent="0.45">
      <c r="A28" t="str">
        <f>'3. Frail population'!A12</f>
        <v>Frail Population.frail diagnosed[Other, male, age]</v>
      </c>
      <c r="B28">
        <f>'3. Frail population'!B12</f>
        <v>0</v>
      </c>
      <c r="C28">
        <f>'3. Frail population'!C12</f>
        <v>0</v>
      </c>
      <c r="D28">
        <f>'3. Frail population'!D12</f>
        <v>0</v>
      </c>
      <c r="E28">
        <f>'3. Frail population'!E12</f>
        <v>0</v>
      </c>
      <c r="F28">
        <f>'3. Frail population'!F12</f>
        <v>0</v>
      </c>
      <c r="G28">
        <f>'3. Frail population'!G12</f>
        <v>0</v>
      </c>
      <c r="H28">
        <f>'3. Frail population'!H12</f>
        <v>0</v>
      </c>
      <c r="I28">
        <f>'3. Frail population'!I12</f>
        <v>0</v>
      </c>
      <c r="J28">
        <f>'3. Frail population'!J12</f>
        <v>0</v>
      </c>
      <c r="K28">
        <f>'3. Frail population'!K12</f>
        <v>0</v>
      </c>
      <c r="L28">
        <f>'3. Frail population'!L12</f>
        <v>0</v>
      </c>
      <c r="M28">
        <f>'3. Frail population'!M12</f>
        <v>0</v>
      </c>
      <c r="N28">
        <f>'3. Frail population'!N12</f>
        <v>0</v>
      </c>
      <c r="O28">
        <f>'3. Frail population'!O12</f>
        <v>0</v>
      </c>
      <c r="P28">
        <f>'3. Frail population'!P12</f>
        <v>0</v>
      </c>
      <c r="Q28">
        <f>'3. Frail population'!Q12</f>
        <v>0</v>
      </c>
      <c r="R28">
        <f>'3. Frail population'!R12</f>
        <v>0</v>
      </c>
      <c r="S28">
        <f>'3. Frail population'!S12</f>
        <v>0</v>
      </c>
      <c r="T28">
        <f>'3. Frail population'!T12</f>
        <v>0</v>
      </c>
      <c r="U28">
        <f>'3. Frail population'!U12</f>
        <v>0</v>
      </c>
      <c r="V28">
        <f>'3. Frail population'!V12</f>
        <v>0</v>
      </c>
      <c r="W28">
        <f>'3. Frail population'!W12</f>
        <v>0</v>
      </c>
      <c r="X28">
        <f>'3. Frail population'!X12</f>
        <v>0</v>
      </c>
      <c r="Y28">
        <f>'3. Frail population'!Y12</f>
        <v>0</v>
      </c>
      <c r="Z28">
        <f>'3. Frail population'!Z12</f>
        <v>0</v>
      </c>
      <c r="AA28">
        <f>'3. Frail population'!AA12</f>
        <v>0</v>
      </c>
      <c r="AB28">
        <f>'3. Frail population'!AB12</f>
        <v>0</v>
      </c>
      <c r="AC28">
        <f>'3. Frail population'!AC12</f>
        <v>0</v>
      </c>
      <c r="AD28">
        <f>'3. Frail population'!AD12</f>
        <v>0</v>
      </c>
      <c r="AE28">
        <f>'3. Frail population'!AE12</f>
        <v>0</v>
      </c>
      <c r="AF28">
        <f>'3. Frail population'!AF12</f>
        <v>0</v>
      </c>
      <c r="AG28">
        <f>'3. Frail population'!AG12</f>
        <v>0</v>
      </c>
      <c r="AH28">
        <f>'3. Frail population'!AH12</f>
        <v>0</v>
      </c>
      <c r="AI28">
        <f>'3. Frail population'!AI12</f>
        <v>0</v>
      </c>
      <c r="AJ28">
        <f>'3. Frail population'!AJ12</f>
        <v>0</v>
      </c>
      <c r="AK28">
        <f>'3. Frail population'!AK12</f>
        <v>0</v>
      </c>
      <c r="AL28">
        <f>'3. Frail population'!AL12</f>
        <v>0</v>
      </c>
      <c r="AM28">
        <f>'3. Frail population'!AM12</f>
        <v>0</v>
      </c>
      <c r="AN28">
        <f>'3. Frail population'!AN12</f>
        <v>0</v>
      </c>
      <c r="AO28">
        <f>'3. Frail population'!AO12</f>
        <v>0</v>
      </c>
      <c r="AP28">
        <f>'3. Frail population'!AP12</f>
        <v>0</v>
      </c>
      <c r="AQ28">
        <f>'3. Frail population'!AQ12</f>
        <v>0</v>
      </c>
      <c r="AR28">
        <f>'3. Frail population'!AR12</f>
        <v>0</v>
      </c>
      <c r="AS28">
        <f>'3. Frail population'!AS12</f>
        <v>0</v>
      </c>
      <c r="AT28">
        <f>'3. Frail population'!AT12</f>
        <v>0</v>
      </c>
      <c r="AU28">
        <f>'3. Frail population'!AU12</f>
        <v>0</v>
      </c>
      <c r="AV28">
        <f>'3. Frail population'!AV12</f>
        <v>0</v>
      </c>
      <c r="AW28">
        <f>'3. Frail population'!AW12</f>
        <v>0</v>
      </c>
      <c r="AX28">
        <f>'3. Frail population'!AX12</f>
        <v>0</v>
      </c>
      <c r="AY28">
        <f>'3. Frail population'!AY12</f>
        <v>0</v>
      </c>
      <c r="AZ28">
        <f>'3. Frail population'!AZ12</f>
        <v>0</v>
      </c>
      <c r="BA28">
        <f>'3. Frail population'!BA12</f>
        <v>0</v>
      </c>
      <c r="BB28">
        <f>'3. Frail population'!BB12</f>
        <v>0</v>
      </c>
      <c r="BC28">
        <f>'3. Frail population'!BC12</f>
        <v>0</v>
      </c>
      <c r="BD28">
        <f>'3. Frail population'!BD12</f>
        <v>0</v>
      </c>
      <c r="BE28">
        <f>'3. Frail population'!BE12</f>
        <v>0</v>
      </c>
      <c r="BF28">
        <f>'3. Frail population'!BF12</f>
        <v>0</v>
      </c>
      <c r="BG28">
        <f>'3. Frail population'!BG12</f>
        <v>0</v>
      </c>
      <c r="BH28">
        <f>'3. Frail population'!BH12</f>
        <v>0</v>
      </c>
      <c r="BI28">
        <f>'3. Frail population'!BI12</f>
        <v>0</v>
      </c>
      <c r="BJ28">
        <f>'3. Frail population'!BJ12</f>
        <v>0</v>
      </c>
      <c r="BK28">
        <f>'3. Frail population'!BK12</f>
        <v>0</v>
      </c>
      <c r="BL28">
        <f>'3. Frail population'!BL12</f>
        <v>0</v>
      </c>
      <c r="BM28">
        <f>'3. Frail population'!BM12</f>
        <v>0</v>
      </c>
      <c r="BN28">
        <f>'3. Frail population'!BN12</f>
        <v>0</v>
      </c>
      <c r="BO28">
        <f>'3. Frail population'!BO12</f>
        <v>0</v>
      </c>
      <c r="BP28">
        <f>'3. Frail population'!BP12</f>
        <v>0</v>
      </c>
      <c r="BQ28">
        <f>'3. Frail population'!BQ12</f>
        <v>0</v>
      </c>
      <c r="BR28">
        <f>'3. Frail population'!BR12</f>
        <v>0</v>
      </c>
      <c r="BS28">
        <f>'3. Frail population'!BS12</f>
        <v>0</v>
      </c>
      <c r="BT28">
        <f>'3. Frail population'!BT12</f>
        <v>0</v>
      </c>
      <c r="BU28">
        <f>'3. Frail population'!BU12</f>
        <v>0</v>
      </c>
      <c r="BV28">
        <f>'3. Frail population'!BV12</f>
        <v>0</v>
      </c>
      <c r="BW28">
        <f>'3. Frail population'!BW12</f>
        <v>0</v>
      </c>
      <c r="BX28">
        <f>'3. Frail population'!BX12</f>
        <v>0</v>
      </c>
      <c r="BY28">
        <f>'3. Frail population'!BY12</f>
        <v>0</v>
      </c>
      <c r="BZ28">
        <f>'3. Frail population'!BZ12</f>
        <v>0</v>
      </c>
      <c r="CA28">
        <f>'3. Frail population'!CA12</f>
        <v>0</v>
      </c>
      <c r="CB28">
        <f>'3. Frail population'!CB12</f>
        <v>0</v>
      </c>
      <c r="CC28">
        <f>'3. Frail population'!CC12</f>
        <v>0</v>
      </c>
      <c r="CD28">
        <f>'3. Frail population'!CD12</f>
        <v>0</v>
      </c>
      <c r="CE28">
        <f>'3. Frail population'!CE12</f>
        <v>0</v>
      </c>
      <c r="CF28">
        <f>'3. Frail population'!CF12</f>
        <v>0</v>
      </c>
      <c r="CG28">
        <f>'3. Frail population'!CG12</f>
        <v>0</v>
      </c>
      <c r="CH28">
        <f>'3. Frail population'!CH12</f>
        <v>0</v>
      </c>
      <c r="CI28">
        <f>'3. Frail population'!CI12</f>
        <v>0</v>
      </c>
      <c r="CJ28">
        <f>'3. Frail population'!CJ12</f>
        <v>0</v>
      </c>
      <c r="CK28">
        <f>'3. Frail population'!CK12</f>
        <v>0</v>
      </c>
      <c r="CL28">
        <f>'3. Frail population'!CL12</f>
        <v>0</v>
      </c>
      <c r="CM28">
        <f>'3. Frail population'!CM12</f>
        <v>0</v>
      </c>
      <c r="CN28">
        <f>'3. Frail population'!CN12</f>
        <v>0</v>
      </c>
      <c r="CO28">
        <f>'3. Frail population'!CO12</f>
        <v>0</v>
      </c>
      <c r="CP28">
        <f>'3. Frail population'!CP12</f>
        <v>0</v>
      </c>
      <c r="CQ28">
        <f>'3. Frail population'!CQ12</f>
        <v>0</v>
      </c>
      <c r="CR28">
        <f>'3. Frail population'!CR12</f>
        <v>0</v>
      </c>
      <c r="CS28">
        <f>'3. Frail population'!CS12</f>
        <v>0</v>
      </c>
      <c r="CT28">
        <f>'3. Frail population'!CT12</f>
        <v>0</v>
      </c>
      <c r="CU28">
        <f>'3. Frail population'!CU12</f>
        <v>0</v>
      </c>
      <c r="CV28">
        <f>'3. Frail population'!CV12</f>
        <v>0</v>
      </c>
      <c r="CW28">
        <f>'3. Frail population'!CW12</f>
        <v>0</v>
      </c>
      <c r="CX28">
        <f>'3. Frail population'!CX12</f>
        <v>0</v>
      </c>
      <c r="CY28">
        <f>'3. Frail population'!CY12</f>
        <v>0</v>
      </c>
    </row>
    <row r="29" spans="1:103" x14ac:dyDescent="0.45">
      <c r="A29" t="str">
        <f>'3. Frail population'!A13</f>
        <v>Frail Population.frail diagnosed[Other, female, age]</v>
      </c>
      <c r="B29">
        <f>'3. Frail population'!B13</f>
        <v>0</v>
      </c>
      <c r="C29">
        <f>'3. Frail population'!C13</f>
        <v>0</v>
      </c>
      <c r="D29">
        <f>'3. Frail population'!D13</f>
        <v>0</v>
      </c>
      <c r="E29">
        <f>'3. Frail population'!E13</f>
        <v>0</v>
      </c>
      <c r="F29">
        <f>'3. Frail population'!F13</f>
        <v>0</v>
      </c>
      <c r="G29">
        <f>'3. Frail population'!G13</f>
        <v>0</v>
      </c>
      <c r="H29">
        <f>'3. Frail population'!H13</f>
        <v>0</v>
      </c>
      <c r="I29">
        <f>'3. Frail population'!I13</f>
        <v>0</v>
      </c>
      <c r="J29">
        <f>'3. Frail population'!J13</f>
        <v>0</v>
      </c>
      <c r="K29">
        <f>'3. Frail population'!K13</f>
        <v>0</v>
      </c>
      <c r="L29">
        <f>'3. Frail population'!L13</f>
        <v>0</v>
      </c>
      <c r="M29">
        <f>'3. Frail population'!M13</f>
        <v>0</v>
      </c>
      <c r="N29">
        <f>'3. Frail population'!N13</f>
        <v>0</v>
      </c>
      <c r="O29">
        <f>'3. Frail population'!O13</f>
        <v>0</v>
      </c>
      <c r="P29">
        <f>'3. Frail population'!P13</f>
        <v>0</v>
      </c>
      <c r="Q29">
        <f>'3. Frail population'!Q13</f>
        <v>0</v>
      </c>
      <c r="R29">
        <f>'3. Frail population'!R13</f>
        <v>0</v>
      </c>
      <c r="S29">
        <f>'3. Frail population'!S13</f>
        <v>0</v>
      </c>
      <c r="T29">
        <f>'3. Frail population'!T13</f>
        <v>0</v>
      </c>
      <c r="U29">
        <f>'3. Frail population'!U13</f>
        <v>0</v>
      </c>
      <c r="V29">
        <f>'3. Frail population'!V13</f>
        <v>0</v>
      </c>
      <c r="W29">
        <f>'3. Frail population'!W13</f>
        <v>0</v>
      </c>
      <c r="X29">
        <f>'3. Frail population'!X13</f>
        <v>0</v>
      </c>
      <c r="Y29">
        <f>'3. Frail population'!Y13</f>
        <v>0</v>
      </c>
      <c r="Z29">
        <f>'3. Frail population'!Z13</f>
        <v>0</v>
      </c>
      <c r="AA29">
        <f>'3. Frail population'!AA13</f>
        <v>0</v>
      </c>
      <c r="AB29">
        <f>'3. Frail population'!AB13</f>
        <v>0</v>
      </c>
      <c r="AC29">
        <f>'3. Frail population'!AC13</f>
        <v>0</v>
      </c>
      <c r="AD29">
        <f>'3. Frail population'!AD13</f>
        <v>0</v>
      </c>
      <c r="AE29">
        <f>'3. Frail population'!AE13</f>
        <v>0</v>
      </c>
      <c r="AF29">
        <f>'3. Frail population'!AF13</f>
        <v>0</v>
      </c>
      <c r="AG29">
        <f>'3. Frail population'!AG13</f>
        <v>0</v>
      </c>
      <c r="AH29">
        <f>'3. Frail population'!AH13</f>
        <v>0</v>
      </c>
      <c r="AI29">
        <f>'3. Frail population'!AI13</f>
        <v>0</v>
      </c>
      <c r="AJ29">
        <f>'3. Frail population'!AJ13</f>
        <v>0</v>
      </c>
      <c r="AK29">
        <f>'3. Frail population'!AK13</f>
        <v>0</v>
      </c>
      <c r="AL29">
        <f>'3. Frail population'!AL13</f>
        <v>0</v>
      </c>
      <c r="AM29">
        <f>'3. Frail population'!AM13</f>
        <v>0</v>
      </c>
      <c r="AN29">
        <f>'3. Frail population'!AN13</f>
        <v>0</v>
      </c>
      <c r="AO29">
        <f>'3. Frail population'!AO13</f>
        <v>0</v>
      </c>
      <c r="AP29">
        <f>'3. Frail population'!AP13</f>
        <v>0</v>
      </c>
      <c r="AQ29">
        <f>'3. Frail population'!AQ13</f>
        <v>0</v>
      </c>
      <c r="AR29">
        <f>'3. Frail population'!AR13</f>
        <v>0</v>
      </c>
      <c r="AS29">
        <f>'3. Frail population'!AS13</f>
        <v>0</v>
      </c>
      <c r="AT29">
        <f>'3. Frail population'!AT13</f>
        <v>0</v>
      </c>
      <c r="AU29">
        <f>'3. Frail population'!AU13</f>
        <v>0</v>
      </c>
      <c r="AV29">
        <f>'3. Frail population'!AV13</f>
        <v>0</v>
      </c>
      <c r="AW29">
        <f>'3. Frail population'!AW13</f>
        <v>0</v>
      </c>
      <c r="AX29">
        <f>'3. Frail population'!AX13</f>
        <v>0</v>
      </c>
      <c r="AY29">
        <f>'3. Frail population'!AY13</f>
        <v>0</v>
      </c>
      <c r="AZ29">
        <f>'3. Frail population'!AZ13</f>
        <v>0</v>
      </c>
      <c r="BA29">
        <f>'3. Frail population'!BA13</f>
        <v>0</v>
      </c>
      <c r="BB29">
        <f>'3. Frail population'!BB13</f>
        <v>0</v>
      </c>
      <c r="BC29">
        <f>'3. Frail population'!BC13</f>
        <v>0</v>
      </c>
      <c r="BD29">
        <f>'3. Frail population'!BD13</f>
        <v>0</v>
      </c>
      <c r="BE29">
        <f>'3. Frail population'!BE13</f>
        <v>0</v>
      </c>
      <c r="BF29">
        <f>'3. Frail population'!BF13</f>
        <v>0</v>
      </c>
      <c r="BG29">
        <f>'3. Frail population'!BG13</f>
        <v>0</v>
      </c>
      <c r="BH29">
        <f>'3. Frail population'!BH13</f>
        <v>0</v>
      </c>
      <c r="BI29">
        <f>'3. Frail population'!BI13</f>
        <v>0</v>
      </c>
      <c r="BJ29">
        <f>'3. Frail population'!BJ13</f>
        <v>0</v>
      </c>
      <c r="BK29">
        <f>'3. Frail population'!BK13</f>
        <v>0</v>
      </c>
      <c r="BL29">
        <f>'3. Frail population'!BL13</f>
        <v>0</v>
      </c>
      <c r="BM29">
        <f>'3. Frail population'!BM13</f>
        <v>0</v>
      </c>
      <c r="BN29">
        <f>'3. Frail population'!BN13</f>
        <v>0</v>
      </c>
      <c r="BO29">
        <f>'3. Frail population'!BO13</f>
        <v>0</v>
      </c>
      <c r="BP29">
        <f>'3. Frail population'!BP13</f>
        <v>0</v>
      </c>
      <c r="BQ29">
        <f>'3. Frail population'!BQ13</f>
        <v>0</v>
      </c>
      <c r="BR29">
        <f>'3. Frail population'!BR13</f>
        <v>0</v>
      </c>
      <c r="BS29">
        <f>'3. Frail population'!BS13</f>
        <v>0</v>
      </c>
      <c r="BT29">
        <f>'3. Frail population'!BT13</f>
        <v>0</v>
      </c>
      <c r="BU29">
        <f>'3. Frail population'!BU13</f>
        <v>0</v>
      </c>
      <c r="BV29">
        <f>'3. Frail population'!BV13</f>
        <v>0</v>
      </c>
      <c r="BW29">
        <f>'3. Frail population'!BW13</f>
        <v>0</v>
      </c>
      <c r="BX29">
        <f>'3. Frail population'!BX13</f>
        <v>0</v>
      </c>
      <c r="BY29">
        <f>'3. Frail population'!BY13</f>
        <v>0</v>
      </c>
      <c r="BZ29">
        <f>'3. Frail population'!BZ13</f>
        <v>0</v>
      </c>
      <c r="CA29">
        <f>'3. Frail population'!CA13</f>
        <v>0</v>
      </c>
      <c r="CB29">
        <f>'3. Frail population'!CB13</f>
        <v>0</v>
      </c>
      <c r="CC29">
        <f>'3. Frail population'!CC13</f>
        <v>0</v>
      </c>
      <c r="CD29">
        <f>'3. Frail population'!CD13</f>
        <v>0</v>
      </c>
      <c r="CE29">
        <f>'3. Frail population'!CE13</f>
        <v>0</v>
      </c>
      <c r="CF29">
        <f>'3. Frail population'!CF13</f>
        <v>0</v>
      </c>
      <c r="CG29">
        <f>'3. Frail population'!CG13</f>
        <v>0</v>
      </c>
      <c r="CH29">
        <f>'3. Frail population'!CH13</f>
        <v>0</v>
      </c>
      <c r="CI29">
        <f>'3. Frail population'!CI13</f>
        <v>0</v>
      </c>
      <c r="CJ29">
        <f>'3. Frail population'!CJ13</f>
        <v>0</v>
      </c>
      <c r="CK29">
        <f>'3. Frail population'!CK13</f>
        <v>0</v>
      </c>
      <c r="CL29">
        <f>'3. Frail population'!CL13</f>
        <v>0</v>
      </c>
      <c r="CM29">
        <f>'3. Frail population'!CM13</f>
        <v>0</v>
      </c>
      <c r="CN29">
        <f>'3. Frail population'!CN13</f>
        <v>0</v>
      </c>
      <c r="CO29">
        <f>'3. Frail population'!CO13</f>
        <v>0</v>
      </c>
      <c r="CP29">
        <f>'3. Frail population'!CP13</f>
        <v>0</v>
      </c>
      <c r="CQ29">
        <f>'3. Frail population'!CQ13</f>
        <v>0</v>
      </c>
      <c r="CR29">
        <f>'3. Frail population'!CR13</f>
        <v>0</v>
      </c>
      <c r="CS29">
        <f>'3. Frail population'!CS13</f>
        <v>0</v>
      </c>
      <c r="CT29">
        <f>'3. Frail population'!CT13</f>
        <v>0</v>
      </c>
      <c r="CU29">
        <f>'3. Frail population'!CU13</f>
        <v>0</v>
      </c>
      <c r="CV29">
        <f>'3. Frail population'!CV13</f>
        <v>0</v>
      </c>
      <c r="CW29">
        <f>'3. Frail population'!CW13</f>
        <v>0</v>
      </c>
      <c r="CX29">
        <f>'3. Frail population'!CX13</f>
        <v>0</v>
      </c>
      <c r="CY29">
        <f>'3. Frail population'!CY13</f>
        <v>0</v>
      </c>
    </row>
    <row r="30" spans="1:103" x14ac:dyDescent="0.45">
      <c r="A30" t="str">
        <f>'3. Frail population'!A14</f>
        <v>Frail Population.pre-frail diagnosed[Chinese, male, age]</v>
      </c>
      <c r="B30">
        <f>'3. Frail population'!B14</f>
        <v>0</v>
      </c>
      <c r="C30">
        <f>'3. Frail population'!C14</f>
        <v>0</v>
      </c>
      <c r="D30">
        <f>'3. Frail population'!D14</f>
        <v>0</v>
      </c>
      <c r="E30">
        <f>'3. Frail population'!E14</f>
        <v>0</v>
      </c>
      <c r="F30">
        <f>'3. Frail population'!F14</f>
        <v>0</v>
      </c>
      <c r="G30">
        <f>'3. Frail population'!G14</f>
        <v>0</v>
      </c>
      <c r="H30">
        <f>'3. Frail population'!H14</f>
        <v>0</v>
      </c>
      <c r="I30">
        <f>'3. Frail population'!I14</f>
        <v>0</v>
      </c>
      <c r="J30">
        <f>'3. Frail population'!J14</f>
        <v>0</v>
      </c>
      <c r="K30">
        <f>'3. Frail population'!K14</f>
        <v>0</v>
      </c>
      <c r="L30">
        <f>'3. Frail population'!L14</f>
        <v>0</v>
      </c>
      <c r="M30">
        <f>'3. Frail population'!M14</f>
        <v>0</v>
      </c>
      <c r="N30">
        <f>'3. Frail population'!N14</f>
        <v>0</v>
      </c>
      <c r="O30">
        <f>'3. Frail population'!O14</f>
        <v>0</v>
      </c>
      <c r="P30">
        <f>'3. Frail population'!P14</f>
        <v>0</v>
      </c>
      <c r="Q30">
        <f>'3. Frail population'!Q14</f>
        <v>0</v>
      </c>
      <c r="R30">
        <f>'3. Frail population'!R14</f>
        <v>0</v>
      </c>
      <c r="S30">
        <f>'3. Frail population'!S14</f>
        <v>0</v>
      </c>
      <c r="T30">
        <f>'3. Frail population'!T14</f>
        <v>0</v>
      </c>
      <c r="U30">
        <f>'3. Frail population'!U14</f>
        <v>0</v>
      </c>
      <c r="V30">
        <f>'3. Frail population'!V14</f>
        <v>0</v>
      </c>
      <c r="W30">
        <f>'3. Frail population'!W14</f>
        <v>0</v>
      </c>
      <c r="X30">
        <f>'3. Frail population'!X14</f>
        <v>0</v>
      </c>
      <c r="Y30">
        <f>'3. Frail population'!Y14</f>
        <v>0</v>
      </c>
      <c r="Z30">
        <f>'3. Frail population'!Z14</f>
        <v>0</v>
      </c>
      <c r="AA30">
        <f>'3. Frail population'!AA14</f>
        <v>0</v>
      </c>
      <c r="AB30">
        <f>'3. Frail population'!AB14</f>
        <v>0</v>
      </c>
      <c r="AC30">
        <f>'3. Frail population'!AC14</f>
        <v>0</v>
      </c>
      <c r="AD30">
        <f>'3. Frail population'!AD14</f>
        <v>0</v>
      </c>
      <c r="AE30">
        <f>'3. Frail population'!AE14</f>
        <v>0</v>
      </c>
      <c r="AF30">
        <f>'3. Frail population'!AF14</f>
        <v>0</v>
      </c>
      <c r="AG30">
        <f>'3. Frail population'!AG14</f>
        <v>0</v>
      </c>
      <c r="AH30">
        <f>'3. Frail population'!AH14</f>
        <v>0</v>
      </c>
      <c r="AI30">
        <f>'3. Frail population'!AI14</f>
        <v>0</v>
      </c>
      <c r="AJ30">
        <f>'3. Frail population'!AJ14</f>
        <v>0</v>
      </c>
      <c r="AK30">
        <f>'3. Frail population'!AK14</f>
        <v>0</v>
      </c>
      <c r="AL30">
        <f>'3. Frail population'!AL14</f>
        <v>0</v>
      </c>
      <c r="AM30">
        <f>'3. Frail population'!AM14</f>
        <v>0</v>
      </c>
      <c r="AN30">
        <f>'3. Frail population'!AN14</f>
        <v>0</v>
      </c>
      <c r="AO30">
        <f>'3. Frail population'!AO14</f>
        <v>0</v>
      </c>
      <c r="AP30">
        <f>'3. Frail population'!AP14</f>
        <v>0</v>
      </c>
      <c r="AQ30">
        <f>'3. Frail population'!AQ14</f>
        <v>0</v>
      </c>
      <c r="AR30">
        <f>'3. Frail population'!AR14</f>
        <v>0</v>
      </c>
      <c r="AS30">
        <f>'3. Frail population'!AS14</f>
        <v>0</v>
      </c>
      <c r="AT30">
        <f>'3. Frail population'!AT14</f>
        <v>0</v>
      </c>
      <c r="AU30">
        <f>'3. Frail population'!AU14</f>
        <v>0</v>
      </c>
      <c r="AV30">
        <f>'3. Frail population'!AV14</f>
        <v>0</v>
      </c>
      <c r="AW30">
        <f>'3. Frail population'!AW14</f>
        <v>0</v>
      </c>
      <c r="AX30">
        <f>'3. Frail population'!AX14</f>
        <v>0</v>
      </c>
      <c r="AY30">
        <f>'3. Frail population'!AY14</f>
        <v>0</v>
      </c>
      <c r="AZ30">
        <f>'3. Frail population'!AZ14</f>
        <v>0</v>
      </c>
      <c r="BA30">
        <f>'3. Frail population'!BA14</f>
        <v>0</v>
      </c>
      <c r="BB30">
        <f>'3. Frail population'!BB14</f>
        <v>0</v>
      </c>
      <c r="BC30">
        <f>'3. Frail population'!BC14</f>
        <v>0</v>
      </c>
      <c r="BD30">
        <f>'3. Frail population'!BD14</f>
        <v>0</v>
      </c>
      <c r="BE30">
        <f>'3. Frail population'!BE14</f>
        <v>0</v>
      </c>
      <c r="BF30">
        <f>'3. Frail population'!BF14</f>
        <v>0</v>
      </c>
      <c r="BG30">
        <f>'3. Frail population'!BG14</f>
        <v>0</v>
      </c>
      <c r="BH30">
        <f>'3. Frail population'!BH14</f>
        <v>0</v>
      </c>
      <c r="BI30">
        <f>'3. Frail population'!BI14</f>
        <v>0</v>
      </c>
      <c r="BJ30">
        <f>'3. Frail population'!BJ14</f>
        <v>0</v>
      </c>
      <c r="BK30">
        <f>'3. Frail population'!BK14</f>
        <v>0</v>
      </c>
      <c r="BL30">
        <f>'3. Frail population'!BL14</f>
        <v>0</v>
      </c>
      <c r="BM30">
        <f>'3. Frail population'!BM14</f>
        <v>0</v>
      </c>
      <c r="BN30">
        <f>'3. Frail population'!BN14</f>
        <v>0</v>
      </c>
      <c r="BO30">
        <f>'3. Frail population'!BO14</f>
        <v>0</v>
      </c>
      <c r="BP30">
        <f>'3. Frail population'!BP14</f>
        <v>0</v>
      </c>
      <c r="BQ30">
        <f>'3. Frail population'!BQ14</f>
        <v>0</v>
      </c>
      <c r="BR30">
        <f>'3. Frail population'!BR14</f>
        <v>0</v>
      </c>
      <c r="BS30">
        <f>'3. Frail population'!BS14</f>
        <v>0</v>
      </c>
      <c r="BT30">
        <f>'3. Frail population'!BT14</f>
        <v>0</v>
      </c>
      <c r="BU30">
        <f>'3. Frail population'!BU14</f>
        <v>0</v>
      </c>
      <c r="BV30">
        <f>'3. Frail population'!BV14</f>
        <v>0</v>
      </c>
      <c r="BW30">
        <f>'3. Frail population'!BW14</f>
        <v>0</v>
      </c>
      <c r="BX30">
        <f>'3. Frail population'!BX14</f>
        <v>0</v>
      </c>
      <c r="BY30">
        <f>'3. Frail population'!BY14</f>
        <v>0</v>
      </c>
      <c r="BZ30">
        <f>'3. Frail population'!BZ14</f>
        <v>0</v>
      </c>
      <c r="CA30">
        <f>'3. Frail population'!CA14</f>
        <v>0</v>
      </c>
      <c r="CB30">
        <f>'3. Frail population'!CB14</f>
        <v>0</v>
      </c>
      <c r="CC30">
        <f>'3. Frail population'!CC14</f>
        <v>0</v>
      </c>
      <c r="CD30">
        <f>'3. Frail population'!CD14</f>
        <v>0</v>
      </c>
      <c r="CE30">
        <f>'3. Frail population'!CE14</f>
        <v>0</v>
      </c>
      <c r="CF30">
        <f>'3. Frail population'!CF14</f>
        <v>0</v>
      </c>
      <c r="CG30">
        <f>'3. Frail population'!CG14</f>
        <v>0</v>
      </c>
      <c r="CH30">
        <f>'3. Frail population'!CH14</f>
        <v>0</v>
      </c>
      <c r="CI30">
        <f>'3. Frail population'!CI14</f>
        <v>0</v>
      </c>
      <c r="CJ30">
        <f>'3. Frail population'!CJ14</f>
        <v>0</v>
      </c>
      <c r="CK30">
        <f>'3. Frail population'!CK14</f>
        <v>0</v>
      </c>
      <c r="CL30">
        <f>'3. Frail population'!CL14</f>
        <v>0</v>
      </c>
      <c r="CM30">
        <f>'3. Frail population'!CM14</f>
        <v>0</v>
      </c>
      <c r="CN30">
        <f>'3. Frail population'!CN14</f>
        <v>0</v>
      </c>
      <c r="CO30">
        <f>'3. Frail population'!CO14</f>
        <v>0</v>
      </c>
      <c r="CP30">
        <f>'3. Frail population'!CP14</f>
        <v>0</v>
      </c>
      <c r="CQ30">
        <f>'3. Frail population'!CQ14</f>
        <v>0</v>
      </c>
      <c r="CR30">
        <f>'3. Frail population'!CR14</f>
        <v>0</v>
      </c>
      <c r="CS30">
        <f>'3. Frail population'!CS14</f>
        <v>0</v>
      </c>
      <c r="CT30">
        <f>'3. Frail population'!CT14</f>
        <v>0</v>
      </c>
      <c r="CU30">
        <f>'3. Frail population'!CU14</f>
        <v>0</v>
      </c>
      <c r="CV30">
        <f>'3. Frail population'!CV14</f>
        <v>0</v>
      </c>
      <c r="CW30">
        <f>'3. Frail population'!CW14</f>
        <v>0</v>
      </c>
      <c r="CX30">
        <f>'3. Frail population'!CX14</f>
        <v>0</v>
      </c>
      <c r="CY30">
        <f>'3. Frail population'!CY14</f>
        <v>0</v>
      </c>
    </row>
    <row r="31" spans="1:103" x14ac:dyDescent="0.45">
      <c r="A31" t="str">
        <f>'3. Frail population'!A15</f>
        <v>Frail Population.pre-frail diagnosed[Chinese, female, age]</v>
      </c>
      <c r="B31">
        <f>'3. Frail population'!B15</f>
        <v>0</v>
      </c>
      <c r="C31">
        <f>'3. Frail population'!C15</f>
        <v>0</v>
      </c>
      <c r="D31">
        <f>'3. Frail population'!D15</f>
        <v>0</v>
      </c>
      <c r="E31">
        <f>'3. Frail population'!E15</f>
        <v>0</v>
      </c>
      <c r="F31">
        <f>'3. Frail population'!F15</f>
        <v>0</v>
      </c>
      <c r="G31">
        <f>'3. Frail population'!G15</f>
        <v>0</v>
      </c>
      <c r="H31">
        <f>'3. Frail population'!H15</f>
        <v>0</v>
      </c>
      <c r="I31">
        <f>'3. Frail population'!I15</f>
        <v>0</v>
      </c>
      <c r="J31">
        <f>'3. Frail population'!J15</f>
        <v>0</v>
      </c>
      <c r="K31">
        <f>'3. Frail population'!K15</f>
        <v>0</v>
      </c>
      <c r="L31">
        <f>'3. Frail population'!L15</f>
        <v>0</v>
      </c>
      <c r="M31">
        <f>'3. Frail population'!M15</f>
        <v>0</v>
      </c>
      <c r="N31">
        <f>'3. Frail population'!N15</f>
        <v>0</v>
      </c>
      <c r="O31">
        <f>'3. Frail population'!O15</f>
        <v>0</v>
      </c>
      <c r="P31">
        <f>'3. Frail population'!P15</f>
        <v>0</v>
      </c>
      <c r="Q31">
        <f>'3. Frail population'!Q15</f>
        <v>0</v>
      </c>
      <c r="R31">
        <f>'3. Frail population'!R15</f>
        <v>0</v>
      </c>
      <c r="S31">
        <f>'3. Frail population'!S15</f>
        <v>0</v>
      </c>
      <c r="T31">
        <f>'3. Frail population'!T15</f>
        <v>0</v>
      </c>
      <c r="U31">
        <f>'3. Frail population'!U15</f>
        <v>0</v>
      </c>
      <c r="V31">
        <f>'3. Frail population'!V15</f>
        <v>0</v>
      </c>
      <c r="W31">
        <f>'3. Frail population'!W15</f>
        <v>0</v>
      </c>
      <c r="X31">
        <f>'3. Frail population'!X15</f>
        <v>0</v>
      </c>
      <c r="Y31">
        <f>'3. Frail population'!Y15</f>
        <v>0</v>
      </c>
      <c r="Z31">
        <f>'3. Frail population'!Z15</f>
        <v>0</v>
      </c>
      <c r="AA31">
        <f>'3. Frail population'!AA15</f>
        <v>0</v>
      </c>
      <c r="AB31">
        <f>'3. Frail population'!AB15</f>
        <v>0</v>
      </c>
      <c r="AC31">
        <f>'3. Frail population'!AC15</f>
        <v>0</v>
      </c>
      <c r="AD31">
        <f>'3. Frail population'!AD15</f>
        <v>0</v>
      </c>
      <c r="AE31">
        <f>'3. Frail population'!AE15</f>
        <v>0</v>
      </c>
      <c r="AF31">
        <f>'3. Frail population'!AF15</f>
        <v>0</v>
      </c>
      <c r="AG31">
        <f>'3. Frail population'!AG15</f>
        <v>0</v>
      </c>
      <c r="AH31">
        <f>'3. Frail population'!AH15</f>
        <v>0</v>
      </c>
      <c r="AI31">
        <f>'3. Frail population'!AI15</f>
        <v>0</v>
      </c>
      <c r="AJ31">
        <f>'3. Frail population'!AJ15</f>
        <v>0</v>
      </c>
      <c r="AK31">
        <f>'3. Frail population'!AK15</f>
        <v>0</v>
      </c>
      <c r="AL31">
        <f>'3. Frail population'!AL15</f>
        <v>0</v>
      </c>
      <c r="AM31">
        <f>'3. Frail population'!AM15</f>
        <v>0</v>
      </c>
      <c r="AN31">
        <f>'3. Frail population'!AN15</f>
        <v>0</v>
      </c>
      <c r="AO31">
        <f>'3. Frail population'!AO15</f>
        <v>0</v>
      </c>
      <c r="AP31">
        <f>'3. Frail population'!AP15</f>
        <v>0</v>
      </c>
      <c r="AQ31">
        <f>'3. Frail population'!AQ15</f>
        <v>0</v>
      </c>
      <c r="AR31">
        <f>'3. Frail population'!AR15</f>
        <v>0</v>
      </c>
      <c r="AS31">
        <f>'3. Frail population'!AS15</f>
        <v>0</v>
      </c>
      <c r="AT31">
        <f>'3. Frail population'!AT15</f>
        <v>0</v>
      </c>
      <c r="AU31">
        <f>'3. Frail population'!AU15</f>
        <v>0</v>
      </c>
      <c r="AV31">
        <f>'3. Frail population'!AV15</f>
        <v>0</v>
      </c>
      <c r="AW31">
        <f>'3. Frail population'!AW15</f>
        <v>0</v>
      </c>
      <c r="AX31">
        <f>'3. Frail population'!AX15</f>
        <v>0</v>
      </c>
      <c r="AY31">
        <f>'3. Frail population'!AY15</f>
        <v>0</v>
      </c>
      <c r="AZ31">
        <f>'3. Frail population'!AZ15</f>
        <v>0</v>
      </c>
      <c r="BA31">
        <f>'3. Frail population'!BA15</f>
        <v>0</v>
      </c>
      <c r="BB31">
        <f>'3. Frail population'!BB15</f>
        <v>0</v>
      </c>
      <c r="BC31">
        <f>'3. Frail population'!BC15</f>
        <v>0</v>
      </c>
      <c r="BD31">
        <f>'3. Frail population'!BD15</f>
        <v>0</v>
      </c>
      <c r="BE31">
        <f>'3. Frail population'!BE15</f>
        <v>0</v>
      </c>
      <c r="BF31">
        <f>'3. Frail population'!BF15</f>
        <v>0</v>
      </c>
      <c r="BG31">
        <f>'3. Frail population'!BG15</f>
        <v>0</v>
      </c>
      <c r="BH31">
        <f>'3. Frail population'!BH15</f>
        <v>0</v>
      </c>
      <c r="BI31">
        <f>'3. Frail population'!BI15</f>
        <v>0</v>
      </c>
      <c r="BJ31">
        <f>'3. Frail population'!BJ15</f>
        <v>0</v>
      </c>
      <c r="BK31">
        <f>'3. Frail population'!BK15</f>
        <v>0</v>
      </c>
      <c r="BL31">
        <f>'3. Frail population'!BL15</f>
        <v>0</v>
      </c>
      <c r="BM31">
        <f>'3. Frail population'!BM15</f>
        <v>0</v>
      </c>
      <c r="BN31">
        <f>'3. Frail population'!BN15</f>
        <v>0</v>
      </c>
      <c r="BO31">
        <f>'3. Frail population'!BO15</f>
        <v>0</v>
      </c>
      <c r="BP31">
        <f>'3. Frail population'!BP15</f>
        <v>0</v>
      </c>
      <c r="BQ31">
        <f>'3. Frail population'!BQ15</f>
        <v>0</v>
      </c>
      <c r="BR31">
        <f>'3. Frail population'!BR15</f>
        <v>0</v>
      </c>
      <c r="BS31">
        <f>'3. Frail population'!BS15</f>
        <v>0</v>
      </c>
      <c r="BT31">
        <f>'3. Frail population'!BT15</f>
        <v>0</v>
      </c>
      <c r="BU31">
        <f>'3. Frail population'!BU15</f>
        <v>0</v>
      </c>
      <c r="BV31">
        <f>'3. Frail population'!BV15</f>
        <v>0</v>
      </c>
      <c r="BW31">
        <f>'3. Frail population'!BW15</f>
        <v>0</v>
      </c>
      <c r="BX31">
        <f>'3. Frail population'!BX15</f>
        <v>0</v>
      </c>
      <c r="BY31">
        <f>'3. Frail population'!BY15</f>
        <v>0</v>
      </c>
      <c r="BZ31">
        <f>'3. Frail population'!BZ15</f>
        <v>0</v>
      </c>
      <c r="CA31">
        <f>'3. Frail population'!CA15</f>
        <v>0</v>
      </c>
      <c r="CB31">
        <f>'3. Frail population'!CB15</f>
        <v>0</v>
      </c>
      <c r="CC31">
        <f>'3. Frail population'!CC15</f>
        <v>0</v>
      </c>
      <c r="CD31">
        <f>'3. Frail population'!CD15</f>
        <v>0</v>
      </c>
      <c r="CE31">
        <f>'3. Frail population'!CE15</f>
        <v>0</v>
      </c>
      <c r="CF31">
        <f>'3. Frail population'!CF15</f>
        <v>0</v>
      </c>
      <c r="CG31">
        <f>'3. Frail population'!CG15</f>
        <v>0</v>
      </c>
      <c r="CH31">
        <f>'3. Frail population'!CH15</f>
        <v>0</v>
      </c>
      <c r="CI31">
        <f>'3. Frail population'!CI15</f>
        <v>0</v>
      </c>
      <c r="CJ31">
        <f>'3. Frail population'!CJ15</f>
        <v>0</v>
      </c>
      <c r="CK31">
        <f>'3. Frail population'!CK15</f>
        <v>0</v>
      </c>
      <c r="CL31">
        <f>'3. Frail population'!CL15</f>
        <v>0</v>
      </c>
      <c r="CM31">
        <f>'3. Frail population'!CM15</f>
        <v>0</v>
      </c>
      <c r="CN31">
        <f>'3. Frail population'!CN15</f>
        <v>0</v>
      </c>
      <c r="CO31">
        <f>'3. Frail population'!CO15</f>
        <v>0</v>
      </c>
      <c r="CP31">
        <f>'3. Frail population'!CP15</f>
        <v>0</v>
      </c>
      <c r="CQ31">
        <f>'3. Frail population'!CQ15</f>
        <v>0</v>
      </c>
      <c r="CR31">
        <f>'3. Frail population'!CR15</f>
        <v>0</v>
      </c>
      <c r="CS31">
        <f>'3. Frail population'!CS15</f>
        <v>0</v>
      </c>
      <c r="CT31">
        <f>'3. Frail population'!CT15</f>
        <v>0</v>
      </c>
      <c r="CU31">
        <f>'3. Frail population'!CU15</f>
        <v>0</v>
      </c>
      <c r="CV31">
        <f>'3. Frail population'!CV15</f>
        <v>0</v>
      </c>
      <c r="CW31">
        <f>'3. Frail population'!CW15</f>
        <v>0</v>
      </c>
      <c r="CX31">
        <f>'3. Frail population'!CX15</f>
        <v>0</v>
      </c>
      <c r="CY31">
        <f>'3. Frail population'!CY15</f>
        <v>0</v>
      </c>
    </row>
    <row r="32" spans="1:103" x14ac:dyDescent="0.45">
      <c r="A32" t="str">
        <f>'3. Frail population'!A16</f>
        <v>Frail Population.pre-frail diagnosed[Malay, male, age]</v>
      </c>
      <c r="B32">
        <f>'3. Frail population'!B16</f>
        <v>0</v>
      </c>
      <c r="C32">
        <f>'3. Frail population'!C16</f>
        <v>0</v>
      </c>
      <c r="D32">
        <f>'3. Frail population'!D16</f>
        <v>0</v>
      </c>
      <c r="E32">
        <f>'3. Frail population'!E16</f>
        <v>0</v>
      </c>
      <c r="F32">
        <f>'3. Frail population'!F16</f>
        <v>0</v>
      </c>
      <c r="G32">
        <f>'3. Frail population'!G16</f>
        <v>0</v>
      </c>
      <c r="H32">
        <f>'3. Frail population'!H16</f>
        <v>0</v>
      </c>
      <c r="I32">
        <f>'3. Frail population'!I16</f>
        <v>0</v>
      </c>
      <c r="J32">
        <f>'3. Frail population'!J16</f>
        <v>0</v>
      </c>
      <c r="K32">
        <f>'3. Frail population'!K16</f>
        <v>0</v>
      </c>
      <c r="L32">
        <f>'3. Frail population'!L16</f>
        <v>0</v>
      </c>
      <c r="M32">
        <f>'3. Frail population'!M16</f>
        <v>0</v>
      </c>
      <c r="N32">
        <f>'3. Frail population'!N16</f>
        <v>0</v>
      </c>
      <c r="O32">
        <f>'3. Frail population'!O16</f>
        <v>0</v>
      </c>
      <c r="P32">
        <f>'3. Frail population'!P16</f>
        <v>0</v>
      </c>
      <c r="Q32">
        <f>'3. Frail population'!Q16</f>
        <v>0</v>
      </c>
      <c r="R32">
        <f>'3. Frail population'!R16</f>
        <v>0</v>
      </c>
      <c r="S32">
        <f>'3. Frail population'!S16</f>
        <v>0</v>
      </c>
      <c r="T32">
        <f>'3. Frail population'!T16</f>
        <v>0</v>
      </c>
      <c r="U32">
        <f>'3. Frail population'!U16</f>
        <v>0</v>
      </c>
      <c r="V32">
        <f>'3. Frail population'!V16</f>
        <v>0</v>
      </c>
      <c r="W32">
        <f>'3. Frail population'!W16</f>
        <v>0</v>
      </c>
      <c r="X32">
        <f>'3. Frail population'!X16</f>
        <v>0</v>
      </c>
      <c r="Y32">
        <f>'3. Frail population'!Y16</f>
        <v>0</v>
      </c>
      <c r="Z32">
        <f>'3. Frail population'!Z16</f>
        <v>0</v>
      </c>
      <c r="AA32">
        <f>'3. Frail population'!AA16</f>
        <v>0</v>
      </c>
      <c r="AB32">
        <f>'3. Frail population'!AB16</f>
        <v>0</v>
      </c>
      <c r="AC32">
        <f>'3. Frail population'!AC16</f>
        <v>0</v>
      </c>
      <c r="AD32">
        <f>'3. Frail population'!AD16</f>
        <v>0</v>
      </c>
      <c r="AE32">
        <f>'3. Frail population'!AE16</f>
        <v>0</v>
      </c>
      <c r="AF32">
        <f>'3. Frail population'!AF16</f>
        <v>0</v>
      </c>
      <c r="AG32">
        <f>'3. Frail population'!AG16</f>
        <v>0</v>
      </c>
      <c r="AH32">
        <f>'3. Frail population'!AH16</f>
        <v>0</v>
      </c>
      <c r="AI32">
        <f>'3. Frail population'!AI16</f>
        <v>0</v>
      </c>
      <c r="AJ32">
        <f>'3. Frail population'!AJ16</f>
        <v>0</v>
      </c>
      <c r="AK32">
        <f>'3. Frail population'!AK16</f>
        <v>0</v>
      </c>
      <c r="AL32">
        <f>'3. Frail population'!AL16</f>
        <v>0</v>
      </c>
      <c r="AM32">
        <f>'3. Frail population'!AM16</f>
        <v>0</v>
      </c>
      <c r="AN32">
        <f>'3. Frail population'!AN16</f>
        <v>0</v>
      </c>
      <c r="AO32">
        <f>'3. Frail population'!AO16</f>
        <v>0</v>
      </c>
      <c r="AP32">
        <f>'3. Frail population'!AP16</f>
        <v>0</v>
      </c>
      <c r="AQ32">
        <f>'3. Frail population'!AQ16</f>
        <v>0</v>
      </c>
      <c r="AR32">
        <f>'3. Frail population'!AR16</f>
        <v>0</v>
      </c>
      <c r="AS32">
        <f>'3. Frail population'!AS16</f>
        <v>0</v>
      </c>
      <c r="AT32">
        <f>'3. Frail population'!AT16</f>
        <v>0</v>
      </c>
      <c r="AU32">
        <f>'3. Frail population'!AU16</f>
        <v>0</v>
      </c>
      <c r="AV32">
        <f>'3. Frail population'!AV16</f>
        <v>0</v>
      </c>
      <c r="AW32">
        <f>'3. Frail population'!AW16</f>
        <v>0</v>
      </c>
      <c r="AX32">
        <f>'3. Frail population'!AX16</f>
        <v>0</v>
      </c>
      <c r="AY32">
        <f>'3. Frail population'!AY16</f>
        <v>0</v>
      </c>
      <c r="AZ32">
        <f>'3. Frail population'!AZ16</f>
        <v>0</v>
      </c>
      <c r="BA32">
        <f>'3. Frail population'!BA16</f>
        <v>0</v>
      </c>
      <c r="BB32">
        <f>'3. Frail population'!BB16</f>
        <v>0</v>
      </c>
      <c r="BC32">
        <f>'3. Frail population'!BC16</f>
        <v>0</v>
      </c>
      <c r="BD32">
        <f>'3. Frail population'!BD16</f>
        <v>0</v>
      </c>
      <c r="BE32">
        <f>'3. Frail population'!BE16</f>
        <v>0</v>
      </c>
      <c r="BF32">
        <f>'3. Frail population'!BF16</f>
        <v>0</v>
      </c>
      <c r="BG32">
        <f>'3. Frail population'!BG16</f>
        <v>0</v>
      </c>
      <c r="BH32">
        <f>'3. Frail population'!BH16</f>
        <v>0</v>
      </c>
      <c r="BI32">
        <f>'3. Frail population'!BI16</f>
        <v>0</v>
      </c>
      <c r="BJ32">
        <f>'3. Frail population'!BJ16</f>
        <v>0</v>
      </c>
      <c r="BK32">
        <f>'3. Frail population'!BK16</f>
        <v>0</v>
      </c>
      <c r="BL32">
        <f>'3. Frail population'!BL16</f>
        <v>0</v>
      </c>
      <c r="BM32">
        <f>'3. Frail population'!BM16</f>
        <v>0</v>
      </c>
      <c r="BN32">
        <f>'3. Frail population'!BN16</f>
        <v>0</v>
      </c>
      <c r="BO32">
        <f>'3. Frail population'!BO16</f>
        <v>0</v>
      </c>
      <c r="BP32">
        <f>'3. Frail population'!BP16</f>
        <v>0</v>
      </c>
      <c r="BQ32">
        <f>'3. Frail population'!BQ16</f>
        <v>0</v>
      </c>
      <c r="BR32">
        <f>'3. Frail population'!BR16</f>
        <v>0</v>
      </c>
      <c r="BS32">
        <f>'3. Frail population'!BS16</f>
        <v>0</v>
      </c>
      <c r="BT32">
        <f>'3. Frail population'!BT16</f>
        <v>0</v>
      </c>
      <c r="BU32">
        <f>'3. Frail population'!BU16</f>
        <v>0</v>
      </c>
      <c r="BV32">
        <f>'3. Frail population'!BV16</f>
        <v>0</v>
      </c>
      <c r="BW32">
        <f>'3. Frail population'!BW16</f>
        <v>0</v>
      </c>
      <c r="BX32">
        <f>'3. Frail population'!BX16</f>
        <v>0</v>
      </c>
      <c r="BY32">
        <f>'3. Frail population'!BY16</f>
        <v>0</v>
      </c>
      <c r="BZ32">
        <f>'3. Frail population'!BZ16</f>
        <v>0</v>
      </c>
      <c r="CA32">
        <f>'3. Frail population'!CA16</f>
        <v>0</v>
      </c>
      <c r="CB32">
        <f>'3. Frail population'!CB16</f>
        <v>0</v>
      </c>
      <c r="CC32">
        <f>'3. Frail population'!CC16</f>
        <v>0</v>
      </c>
      <c r="CD32">
        <f>'3. Frail population'!CD16</f>
        <v>0</v>
      </c>
      <c r="CE32">
        <f>'3. Frail population'!CE16</f>
        <v>0</v>
      </c>
      <c r="CF32">
        <f>'3. Frail population'!CF16</f>
        <v>0</v>
      </c>
      <c r="CG32">
        <f>'3. Frail population'!CG16</f>
        <v>0</v>
      </c>
      <c r="CH32">
        <f>'3. Frail population'!CH16</f>
        <v>0</v>
      </c>
      <c r="CI32">
        <f>'3. Frail population'!CI16</f>
        <v>0</v>
      </c>
      <c r="CJ32">
        <f>'3. Frail population'!CJ16</f>
        <v>0</v>
      </c>
      <c r="CK32">
        <f>'3. Frail population'!CK16</f>
        <v>0</v>
      </c>
      <c r="CL32">
        <f>'3. Frail population'!CL16</f>
        <v>0</v>
      </c>
      <c r="CM32">
        <f>'3. Frail population'!CM16</f>
        <v>0</v>
      </c>
      <c r="CN32">
        <f>'3. Frail population'!CN16</f>
        <v>0</v>
      </c>
      <c r="CO32">
        <f>'3. Frail population'!CO16</f>
        <v>0</v>
      </c>
      <c r="CP32">
        <f>'3. Frail population'!CP16</f>
        <v>0</v>
      </c>
      <c r="CQ32">
        <f>'3. Frail population'!CQ16</f>
        <v>0</v>
      </c>
      <c r="CR32">
        <f>'3. Frail population'!CR16</f>
        <v>0</v>
      </c>
      <c r="CS32">
        <f>'3. Frail population'!CS16</f>
        <v>0</v>
      </c>
      <c r="CT32">
        <f>'3. Frail population'!CT16</f>
        <v>0</v>
      </c>
      <c r="CU32">
        <f>'3. Frail population'!CU16</f>
        <v>0</v>
      </c>
      <c r="CV32">
        <f>'3. Frail population'!CV16</f>
        <v>0</v>
      </c>
      <c r="CW32">
        <f>'3. Frail population'!CW16</f>
        <v>0</v>
      </c>
      <c r="CX32">
        <f>'3. Frail population'!CX16</f>
        <v>0</v>
      </c>
      <c r="CY32">
        <f>'3. Frail population'!CY16</f>
        <v>0</v>
      </c>
    </row>
    <row r="33" spans="1:103" x14ac:dyDescent="0.45">
      <c r="A33" t="str">
        <f>'3. Frail population'!A17</f>
        <v>Frail Population.pre-frail diagnosed[Malay, female, age]</v>
      </c>
      <c r="B33">
        <f>'3. Frail population'!B17</f>
        <v>0</v>
      </c>
      <c r="C33">
        <f>'3. Frail population'!C17</f>
        <v>0</v>
      </c>
      <c r="D33">
        <f>'3. Frail population'!D17</f>
        <v>0</v>
      </c>
      <c r="E33">
        <f>'3. Frail population'!E17</f>
        <v>0</v>
      </c>
      <c r="F33">
        <f>'3. Frail population'!F17</f>
        <v>0</v>
      </c>
      <c r="G33">
        <f>'3. Frail population'!G17</f>
        <v>0</v>
      </c>
      <c r="H33">
        <f>'3. Frail population'!H17</f>
        <v>0</v>
      </c>
      <c r="I33">
        <f>'3. Frail population'!I17</f>
        <v>0</v>
      </c>
      <c r="J33">
        <f>'3. Frail population'!J17</f>
        <v>0</v>
      </c>
      <c r="K33">
        <f>'3. Frail population'!K17</f>
        <v>0</v>
      </c>
      <c r="L33">
        <f>'3. Frail population'!L17</f>
        <v>0</v>
      </c>
      <c r="M33">
        <f>'3. Frail population'!M17</f>
        <v>0</v>
      </c>
      <c r="N33">
        <f>'3. Frail population'!N17</f>
        <v>0</v>
      </c>
      <c r="O33">
        <f>'3. Frail population'!O17</f>
        <v>0</v>
      </c>
      <c r="P33">
        <f>'3. Frail population'!P17</f>
        <v>0</v>
      </c>
      <c r="Q33">
        <f>'3. Frail population'!Q17</f>
        <v>0</v>
      </c>
      <c r="R33">
        <f>'3. Frail population'!R17</f>
        <v>0</v>
      </c>
      <c r="S33">
        <f>'3. Frail population'!S17</f>
        <v>0</v>
      </c>
      <c r="T33">
        <f>'3. Frail population'!T17</f>
        <v>0</v>
      </c>
      <c r="U33">
        <f>'3. Frail population'!U17</f>
        <v>0</v>
      </c>
      <c r="V33">
        <f>'3. Frail population'!V17</f>
        <v>0</v>
      </c>
      <c r="W33">
        <f>'3. Frail population'!W17</f>
        <v>0</v>
      </c>
      <c r="X33">
        <f>'3. Frail population'!X17</f>
        <v>0</v>
      </c>
      <c r="Y33">
        <f>'3. Frail population'!Y17</f>
        <v>0</v>
      </c>
      <c r="Z33">
        <f>'3. Frail population'!Z17</f>
        <v>0</v>
      </c>
      <c r="AA33">
        <f>'3. Frail population'!AA17</f>
        <v>0</v>
      </c>
      <c r="AB33">
        <f>'3. Frail population'!AB17</f>
        <v>0</v>
      </c>
      <c r="AC33">
        <f>'3. Frail population'!AC17</f>
        <v>0</v>
      </c>
      <c r="AD33">
        <f>'3. Frail population'!AD17</f>
        <v>0</v>
      </c>
      <c r="AE33">
        <f>'3. Frail population'!AE17</f>
        <v>0</v>
      </c>
      <c r="AF33">
        <f>'3. Frail population'!AF17</f>
        <v>0</v>
      </c>
      <c r="AG33">
        <f>'3. Frail population'!AG17</f>
        <v>0</v>
      </c>
      <c r="AH33">
        <f>'3. Frail population'!AH17</f>
        <v>0</v>
      </c>
      <c r="AI33">
        <f>'3. Frail population'!AI17</f>
        <v>0</v>
      </c>
      <c r="AJ33">
        <f>'3. Frail population'!AJ17</f>
        <v>0</v>
      </c>
      <c r="AK33">
        <f>'3. Frail population'!AK17</f>
        <v>0</v>
      </c>
      <c r="AL33">
        <f>'3. Frail population'!AL17</f>
        <v>0</v>
      </c>
      <c r="AM33">
        <f>'3. Frail population'!AM17</f>
        <v>0</v>
      </c>
      <c r="AN33">
        <f>'3. Frail population'!AN17</f>
        <v>0</v>
      </c>
      <c r="AO33">
        <f>'3. Frail population'!AO17</f>
        <v>0</v>
      </c>
      <c r="AP33">
        <f>'3. Frail population'!AP17</f>
        <v>0</v>
      </c>
      <c r="AQ33">
        <f>'3. Frail population'!AQ17</f>
        <v>0</v>
      </c>
      <c r="AR33">
        <f>'3. Frail population'!AR17</f>
        <v>0</v>
      </c>
      <c r="AS33">
        <f>'3. Frail population'!AS17</f>
        <v>0</v>
      </c>
      <c r="AT33">
        <f>'3. Frail population'!AT17</f>
        <v>0</v>
      </c>
      <c r="AU33">
        <f>'3. Frail population'!AU17</f>
        <v>0</v>
      </c>
      <c r="AV33">
        <f>'3. Frail population'!AV17</f>
        <v>0</v>
      </c>
      <c r="AW33">
        <f>'3. Frail population'!AW17</f>
        <v>0</v>
      </c>
      <c r="AX33">
        <f>'3. Frail population'!AX17</f>
        <v>0</v>
      </c>
      <c r="AY33">
        <f>'3. Frail population'!AY17</f>
        <v>0</v>
      </c>
      <c r="AZ33">
        <f>'3. Frail population'!AZ17</f>
        <v>0</v>
      </c>
      <c r="BA33">
        <f>'3. Frail population'!BA17</f>
        <v>0</v>
      </c>
      <c r="BB33">
        <f>'3. Frail population'!BB17</f>
        <v>0</v>
      </c>
      <c r="BC33">
        <f>'3. Frail population'!BC17</f>
        <v>0</v>
      </c>
      <c r="BD33">
        <f>'3. Frail population'!BD17</f>
        <v>0</v>
      </c>
      <c r="BE33">
        <f>'3. Frail population'!BE17</f>
        <v>0</v>
      </c>
      <c r="BF33">
        <f>'3. Frail population'!BF17</f>
        <v>0</v>
      </c>
      <c r="BG33">
        <f>'3. Frail population'!BG17</f>
        <v>0</v>
      </c>
      <c r="BH33">
        <f>'3. Frail population'!BH17</f>
        <v>0</v>
      </c>
      <c r="BI33">
        <f>'3. Frail population'!BI17</f>
        <v>0</v>
      </c>
      <c r="BJ33">
        <f>'3. Frail population'!BJ17</f>
        <v>0</v>
      </c>
      <c r="BK33">
        <f>'3. Frail population'!BK17</f>
        <v>0</v>
      </c>
      <c r="BL33">
        <f>'3. Frail population'!BL17</f>
        <v>0</v>
      </c>
      <c r="BM33">
        <f>'3. Frail population'!BM17</f>
        <v>0</v>
      </c>
      <c r="BN33">
        <f>'3. Frail population'!BN17</f>
        <v>0</v>
      </c>
      <c r="BO33">
        <f>'3. Frail population'!BO17</f>
        <v>0</v>
      </c>
      <c r="BP33">
        <f>'3. Frail population'!BP17</f>
        <v>0</v>
      </c>
      <c r="BQ33">
        <f>'3. Frail population'!BQ17</f>
        <v>0</v>
      </c>
      <c r="BR33">
        <f>'3. Frail population'!BR17</f>
        <v>0</v>
      </c>
      <c r="BS33">
        <f>'3. Frail population'!BS17</f>
        <v>0</v>
      </c>
      <c r="BT33">
        <f>'3. Frail population'!BT17</f>
        <v>0</v>
      </c>
      <c r="BU33">
        <f>'3. Frail population'!BU17</f>
        <v>0</v>
      </c>
      <c r="BV33">
        <f>'3. Frail population'!BV17</f>
        <v>0</v>
      </c>
      <c r="BW33">
        <f>'3. Frail population'!BW17</f>
        <v>0</v>
      </c>
      <c r="BX33">
        <f>'3. Frail population'!BX17</f>
        <v>0</v>
      </c>
      <c r="BY33">
        <f>'3. Frail population'!BY17</f>
        <v>0</v>
      </c>
      <c r="BZ33">
        <f>'3. Frail population'!BZ17</f>
        <v>0</v>
      </c>
      <c r="CA33">
        <f>'3. Frail population'!CA17</f>
        <v>0</v>
      </c>
      <c r="CB33">
        <f>'3. Frail population'!CB17</f>
        <v>0</v>
      </c>
      <c r="CC33">
        <f>'3. Frail population'!CC17</f>
        <v>0</v>
      </c>
      <c r="CD33">
        <f>'3. Frail population'!CD17</f>
        <v>0</v>
      </c>
      <c r="CE33">
        <f>'3. Frail population'!CE17</f>
        <v>0</v>
      </c>
      <c r="CF33">
        <f>'3. Frail population'!CF17</f>
        <v>0</v>
      </c>
      <c r="CG33">
        <f>'3. Frail population'!CG17</f>
        <v>0</v>
      </c>
      <c r="CH33">
        <f>'3. Frail population'!CH17</f>
        <v>0</v>
      </c>
      <c r="CI33">
        <f>'3. Frail population'!CI17</f>
        <v>0</v>
      </c>
      <c r="CJ33">
        <f>'3. Frail population'!CJ17</f>
        <v>0</v>
      </c>
      <c r="CK33">
        <f>'3. Frail population'!CK17</f>
        <v>0</v>
      </c>
      <c r="CL33">
        <f>'3. Frail population'!CL17</f>
        <v>0</v>
      </c>
      <c r="CM33">
        <f>'3. Frail population'!CM17</f>
        <v>0</v>
      </c>
      <c r="CN33">
        <f>'3. Frail population'!CN17</f>
        <v>0</v>
      </c>
      <c r="CO33">
        <f>'3. Frail population'!CO17</f>
        <v>0</v>
      </c>
      <c r="CP33">
        <f>'3. Frail population'!CP17</f>
        <v>0</v>
      </c>
      <c r="CQ33">
        <f>'3. Frail population'!CQ17</f>
        <v>0</v>
      </c>
      <c r="CR33">
        <f>'3. Frail population'!CR17</f>
        <v>0</v>
      </c>
      <c r="CS33">
        <f>'3. Frail population'!CS17</f>
        <v>0</v>
      </c>
      <c r="CT33">
        <f>'3. Frail population'!CT17</f>
        <v>0</v>
      </c>
      <c r="CU33">
        <f>'3. Frail population'!CU17</f>
        <v>0</v>
      </c>
      <c r="CV33">
        <f>'3. Frail population'!CV17</f>
        <v>0</v>
      </c>
      <c r="CW33">
        <f>'3. Frail population'!CW17</f>
        <v>0</v>
      </c>
      <c r="CX33">
        <f>'3. Frail population'!CX17</f>
        <v>0</v>
      </c>
      <c r="CY33">
        <f>'3. Frail population'!CY17</f>
        <v>0</v>
      </c>
    </row>
    <row r="34" spans="1:103" x14ac:dyDescent="0.45">
      <c r="A34" t="str">
        <f>'3. Frail population'!A18</f>
        <v>Frail Population.pre-frail diagnosed[Indian, male, age]</v>
      </c>
      <c r="B34">
        <f>'3. Frail population'!B18</f>
        <v>0</v>
      </c>
      <c r="C34">
        <f>'3. Frail population'!C18</f>
        <v>0</v>
      </c>
      <c r="D34">
        <f>'3. Frail population'!D18</f>
        <v>0</v>
      </c>
      <c r="E34">
        <f>'3. Frail population'!E18</f>
        <v>0</v>
      </c>
      <c r="F34">
        <f>'3. Frail population'!F18</f>
        <v>0</v>
      </c>
      <c r="G34">
        <f>'3. Frail population'!G18</f>
        <v>0</v>
      </c>
      <c r="H34">
        <f>'3. Frail population'!H18</f>
        <v>0</v>
      </c>
      <c r="I34">
        <f>'3. Frail population'!I18</f>
        <v>0</v>
      </c>
      <c r="J34">
        <f>'3. Frail population'!J18</f>
        <v>0</v>
      </c>
      <c r="K34">
        <f>'3. Frail population'!K18</f>
        <v>0</v>
      </c>
      <c r="L34">
        <f>'3. Frail population'!L18</f>
        <v>0</v>
      </c>
      <c r="M34">
        <f>'3. Frail population'!M18</f>
        <v>0</v>
      </c>
      <c r="N34">
        <f>'3. Frail population'!N18</f>
        <v>0</v>
      </c>
      <c r="O34">
        <f>'3. Frail population'!O18</f>
        <v>0</v>
      </c>
      <c r="P34">
        <f>'3. Frail population'!P18</f>
        <v>0</v>
      </c>
      <c r="Q34">
        <f>'3. Frail population'!Q18</f>
        <v>0</v>
      </c>
      <c r="R34">
        <f>'3. Frail population'!R18</f>
        <v>0</v>
      </c>
      <c r="S34">
        <f>'3. Frail population'!S18</f>
        <v>0</v>
      </c>
      <c r="T34">
        <f>'3. Frail population'!T18</f>
        <v>0</v>
      </c>
      <c r="U34">
        <f>'3. Frail population'!U18</f>
        <v>0</v>
      </c>
      <c r="V34">
        <f>'3. Frail population'!V18</f>
        <v>0</v>
      </c>
      <c r="W34">
        <f>'3. Frail population'!W18</f>
        <v>0</v>
      </c>
      <c r="X34">
        <f>'3. Frail population'!X18</f>
        <v>0</v>
      </c>
      <c r="Y34">
        <f>'3. Frail population'!Y18</f>
        <v>0</v>
      </c>
      <c r="Z34">
        <f>'3. Frail population'!Z18</f>
        <v>0</v>
      </c>
      <c r="AA34">
        <f>'3. Frail population'!AA18</f>
        <v>0</v>
      </c>
      <c r="AB34">
        <f>'3. Frail population'!AB18</f>
        <v>0</v>
      </c>
      <c r="AC34">
        <f>'3. Frail population'!AC18</f>
        <v>0</v>
      </c>
      <c r="AD34">
        <f>'3. Frail population'!AD18</f>
        <v>0</v>
      </c>
      <c r="AE34">
        <f>'3. Frail population'!AE18</f>
        <v>0</v>
      </c>
      <c r="AF34">
        <f>'3. Frail population'!AF18</f>
        <v>0</v>
      </c>
      <c r="AG34">
        <f>'3. Frail population'!AG18</f>
        <v>0</v>
      </c>
      <c r="AH34">
        <f>'3. Frail population'!AH18</f>
        <v>0</v>
      </c>
      <c r="AI34">
        <f>'3. Frail population'!AI18</f>
        <v>0</v>
      </c>
      <c r="AJ34">
        <f>'3. Frail population'!AJ18</f>
        <v>0</v>
      </c>
      <c r="AK34">
        <f>'3. Frail population'!AK18</f>
        <v>0</v>
      </c>
      <c r="AL34">
        <f>'3. Frail population'!AL18</f>
        <v>0</v>
      </c>
      <c r="AM34">
        <f>'3. Frail population'!AM18</f>
        <v>0</v>
      </c>
      <c r="AN34">
        <f>'3. Frail population'!AN18</f>
        <v>0</v>
      </c>
      <c r="AO34">
        <f>'3. Frail population'!AO18</f>
        <v>0</v>
      </c>
      <c r="AP34">
        <f>'3. Frail population'!AP18</f>
        <v>0</v>
      </c>
      <c r="AQ34">
        <f>'3. Frail population'!AQ18</f>
        <v>0</v>
      </c>
      <c r="AR34">
        <f>'3. Frail population'!AR18</f>
        <v>0</v>
      </c>
      <c r="AS34">
        <f>'3. Frail population'!AS18</f>
        <v>0</v>
      </c>
      <c r="AT34">
        <f>'3. Frail population'!AT18</f>
        <v>0</v>
      </c>
      <c r="AU34">
        <f>'3. Frail population'!AU18</f>
        <v>0</v>
      </c>
      <c r="AV34">
        <f>'3. Frail population'!AV18</f>
        <v>0</v>
      </c>
      <c r="AW34">
        <f>'3. Frail population'!AW18</f>
        <v>0</v>
      </c>
      <c r="AX34">
        <f>'3. Frail population'!AX18</f>
        <v>0</v>
      </c>
      <c r="AY34">
        <f>'3. Frail population'!AY18</f>
        <v>0</v>
      </c>
      <c r="AZ34">
        <f>'3. Frail population'!AZ18</f>
        <v>0</v>
      </c>
      <c r="BA34">
        <f>'3. Frail population'!BA18</f>
        <v>0</v>
      </c>
      <c r="BB34">
        <f>'3. Frail population'!BB18</f>
        <v>0</v>
      </c>
      <c r="BC34">
        <f>'3. Frail population'!BC18</f>
        <v>0</v>
      </c>
      <c r="BD34">
        <f>'3. Frail population'!BD18</f>
        <v>0</v>
      </c>
      <c r="BE34">
        <f>'3. Frail population'!BE18</f>
        <v>0</v>
      </c>
      <c r="BF34">
        <f>'3. Frail population'!BF18</f>
        <v>0</v>
      </c>
      <c r="BG34">
        <f>'3. Frail population'!BG18</f>
        <v>0</v>
      </c>
      <c r="BH34">
        <f>'3. Frail population'!BH18</f>
        <v>0</v>
      </c>
      <c r="BI34">
        <f>'3. Frail population'!BI18</f>
        <v>0</v>
      </c>
      <c r="BJ34">
        <f>'3. Frail population'!BJ18</f>
        <v>0</v>
      </c>
      <c r="BK34">
        <f>'3. Frail population'!BK18</f>
        <v>0</v>
      </c>
      <c r="BL34">
        <f>'3. Frail population'!BL18</f>
        <v>0</v>
      </c>
      <c r="BM34">
        <f>'3. Frail population'!BM18</f>
        <v>0</v>
      </c>
      <c r="BN34">
        <f>'3. Frail population'!BN18</f>
        <v>0</v>
      </c>
      <c r="BO34">
        <f>'3. Frail population'!BO18</f>
        <v>0</v>
      </c>
      <c r="BP34">
        <f>'3. Frail population'!BP18</f>
        <v>0</v>
      </c>
      <c r="BQ34">
        <f>'3. Frail population'!BQ18</f>
        <v>0</v>
      </c>
      <c r="BR34">
        <f>'3. Frail population'!BR18</f>
        <v>0</v>
      </c>
      <c r="BS34">
        <f>'3. Frail population'!BS18</f>
        <v>0</v>
      </c>
      <c r="BT34">
        <f>'3. Frail population'!BT18</f>
        <v>0</v>
      </c>
      <c r="BU34">
        <f>'3. Frail population'!BU18</f>
        <v>0</v>
      </c>
      <c r="BV34">
        <f>'3. Frail population'!BV18</f>
        <v>0</v>
      </c>
      <c r="BW34">
        <f>'3. Frail population'!BW18</f>
        <v>0</v>
      </c>
      <c r="BX34">
        <f>'3. Frail population'!BX18</f>
        <v>0</v>
      </c>
      <c r="BY34">
        <f>'3. Frail population'!BY18</f>
        <v>0</v>
      </c>
      <c r="BZ34">
        <f>'3. Frail population'!BZ18</f>
        <v>0</v>
      </c>
      <c r="CA34">
        <f>'3. Frail population'!CA18</f>
        <v>0</v>
      </c>
      <c r="CB34">
        <f>'3. Frail population'!CB18</f>
        <v>0</v>
      </c>
      <c r="CC34">
        <f>'3. Frail population'!CC18</f>
        <v>0</v>
      </c>
      <c r="CD34">
        <f>'3. Frail population'!CD18</f>
        <v>0</v>
      </c>
      <c r="CE34">
        <f>'3. Frail population'!CE18</f>
        <v>0</v>
      </c>
      <c r="CF34">
        <f>'3. Frail population'!CF18</f>
        <v>0</v>
      </c>
      <c r="CG34">
        <f>'3. Frail population'!CG18</f>
        <v>0</v>
      </c>
      <c r="CH34">
        <f>'3. Frail population'!CH18</f>
        <v>0</v>
      </c>
      <c r="CI34">
        <f>'3. Frail population'!CI18</f>
        <v>0</v>
      </c>
      <c r="CJ34">
        <f>'3. Frail population'!CJ18</f>
        <v>0</v>
      </c>
      <c r="CK34">
        <f>'3. Frail population'!CK18</f>
        <v>0</v>
      </c>
      <c r="CL34">
        <f>'3. Frail population'!CL18</f>
        <v>0</v>
      </c>
      <c r="CM34">
        <f>'3. Frail population'!CM18</f>
        <v>0</v>
      </c>
      <c r="CN34">
        <f>'3. Frail population'!CN18</f>
        <v>0</v>
      </c>
      <c r="CO34">
        <f>'3. Frail population'!CO18</f>
        <v>0</v>
      </c>
      <c r="CP34">
        <f>'3. Frail population'!CP18</f>
        <v>0</v>
      </c>
      <c r="CQ34">
        <f>'3. Frail population'!CQ18</f>
        <v>0</v>
      </c>
      <c r="CR34">
        <f>'3. Frail population'!CR18</f>
        <v>0</v>
      </c>
      <c r="CS34">
        <f>'3. Frail population'!CS18</f>
        <v>0</v>
      </c>
      <c r="CT34">
        <f>'3. Frail population'!CT18</f>
        <v>0</v>
      </c>
      <c r="CU34">
        <f>'3. Frail population'!CU18</f>
        <v>0</v>
      </c>
      <c r="CV34">
        <f>'3. Frail population'!CV18</f>
        <v>0</v>
      </c>
      <c r="CW34">
        <f>'3. Frail population'!CW18</f>
        <v>0</v>
      </c>
      <c r="CX34">
        <f>'3. Frail population'!CX18</f>
        <v>0</v>
      </c>
      <c r="CY34">
        <f>'3. Frail population'!CY18</f>
        <v>0</v>
      </c>
    </row>
    <row r="35" spans="1:103" x14ac:dyDescent="0.45">
      <c r="A35" t="str">
        <f>'3. Frail population'!A19</f>
        <v>Frail Population.pre-frail diagnosed[Indian, female, age]</v>
      </c>
      <c r="B35">
        <f>'3. Frail population'!B19</f>
        <v>0</v>
      </c>
      <c r="C35">
        <f>'3. Frail population'!C19</f>
        <v>0</v>
      </c>
      <c r="D35">
        <f>'3. Frail population'!D19</f>
        <v>0</v>
      </c>
      <c r="E35">
        <f>'3. Frail population'!E19</f>
        <v>0</v>
      </c>
      <c r="F35">
        <f>'3. Frail population'!F19</f>
        <v>0</v>
      </c>
      <c r="G35">
        <f>'3. Frail population'!G19</f>
        <v>0</v>
      </c>
      <c r="H35">
        <f>'3. Frail population'!H19</f>
        <v>0</v>
      </c>
      <c r="I35">
        <f>'3. Frail population'!I19</f>
        <v>0</v>
      </c>
      <c r="J35">
        <f>'3. Frail population'!J19</f>
        <v>0</v>
      </c>
      <c r="K35">
        <f>'3. Frail population'!K19</f>
        <v>0</v>
      </c>
      <c r="L35">
        <f>'3. Frail population'!L19</f>
        <v>0</v>
      </c>
      <c r="M35">
        <f>'3. Frail population'!M19</f>
        <v>0</v>
      </c>
      <c r="N35">
        <f>'3. Frail population'!N19</f>
        <v>0</v>
      </c>
      <c r="O35">
        <f>'3. Frail population'!O19</f>
        <v>0</v>
      </c>
      <c r="P35">
        <f>'3. Frail population'!P19</f>
        <v>0</v>
      </c>
      <c r="Q35">
        <f>'3. Frail population'!Q19</f>
        <v>0</v>
      </c>
      <c r="R35">
        <f>'3. Frail population'!R19</f>
        <v>0</v>
      </c>
      <c r="S35">
        <f>'3. Frail population'!S19</f>
        <v>0</v>
      </c>
      <c r="T35">
        <f>'3. Frail population'!T19</f>
        <v>0</v>
      </c>
      <c r="U35">
        <f>'3. Frail population'!U19</f>
        <v>0</v>
      </c>
      <c r="V35">
        <f>'3. Frail population'!V19</f>
        <v>0</v>
      </c>
      <c r="W35">
        <f>'3. Frail population'!W19</f>
        <v>0</v>
      </c>
      <c r="X35">
        <f>'3. Frail population'!X19</f>
        <v>0</v>
      </c>
      <c r="Y35">
        <f>'3. Frail population'!Y19</f>
        <v>0</v>
      </c>
      <c r="Z35">
        <f>'3. Frail population'!Z19</f>
        <v>0</v>
      </c>
      <c r="AA35">
        <f>'3. Frail population'!AA19</f>
        <v>0</v>
      </c>
      <c r="AB35">
        <f>'3. Frail population'!AB19</f>
        <v>0</v>
      </c>
      <c r="AC35">
        <f>'3. Frail population'!AC19</f>
        <v>0</v>
      </c>
      <c r="AD35">
        <f>'3. Frail population'!AD19</f>
        <v>0</v>
      </c>
      <c r="AE35">
        <f>'3. Frail population'!AE19</f>
        <v>0</v>
      </c>
      <c r="AF35">
        <f>'3. Frail population'!AF19</f>
        <v>0</v>
      </c>
      <c r="AG35">
        <f>'3. Frail population'!AG19</f>
        <v>0</v>
      </c>
      <c r="AH35">
        <f>'3. Frail population'!AH19</f>
        <v>0</v>
      </c>
      <c r="AI35">
        <f>'3. Frail population'!AI19</f>
        <v>0</v>
      </c>
      <c r="AJ35">
        <f>'3. Frail population'!AJ19</f>
        <v>0</v>
      </c>
      <c r="AK35">
        <f>'3. Frail population'!AK19</f>
        <v>0</v>
      </c>
      <c r="AL35">
        <f>'3. Frail population'!AL19</f>
        <v>0</v>
      </c>
      <c r="AM35">
        <f>'3. Frail population'!AM19</f>
        <v>0</v>
      </c>
      <c r="AN35">
        <f>'3. Frail population'!AN19</f>
        <v>0</v>
      </c>
      <c r="AO35">
        <f>'3. Frail population'!AO19</f>
        <v>0</v>
      </c>
      <c r="AP35">
        <f>'3. Frail population'!AP19</f>
        <v>0</v>
      </c>
      <c r="AQ35">
        <f>'3. Frail population'!AQ19</f>
        <v>0</v>
      </c>
      <c r="AR35">
        <f>'3. Frail population'!AR19</f>
        <v>0</v>
      </c>
      <c r="AS35">
        <f>'3. Frail population'!AS19</f>
        <v>0</v>
      </c>
      <c r="AT35">
        <f>'3. Frail population'!AT19</f>
        <v>0</v>
      </c>
      <c r="AU35">
        <f>'3. Frail population'!AU19</f>
        <v>0</v>
      </c>
      <c r="AV35">
        <f>'3. Frail population'!AV19</f>
        <v>0</v>
      </c>
      <c r="AW35">
        <f>'3. Frail population'!AW19</f>
        <v>0</v>
      </c>
      <c r="AX35">
        <f>'3. Frail population'!AX19</f>
        <v>0</v>
      </c>
      <c r="AY35">
        <f>'3. Frail population'!AY19</f>
        <v>0</v>
      </c>
      <c r="AZ35">
        <f>'3. Frail population'!AZ19</f>
        <v>0</v>
      </c>
      <c r="BA35">
        <f>'3. Frail population'!BA19</f>
        <v>0</v>
      </c>
      <c r="BB35">
        <f>'3. Frail population'!BB19</f>
        <v>0</v>
      </c>
      <c r="BC35">
        <f>'3. Frail population'!BC19</f>
        <v>0</v>
      </c>
      <c r="BD35">
        <f>'3. Frail population'!BD19</f>
        <v>0</v>
      </c>
      <c r="BE35">
        <f>'3. Frail population'!BE19</f>
        <v>0</v>
      </c>
      <c r="BF35">
        <f>'3. Frail population'!BF19</f>
        <v>0</v>
      </c>
      <c r="BG35">
        <f>'3. Frail population'!BG19</f>
        <v>0</v>
      </c>
      <c r="BH35">
        <f>'3. Frail population'!BH19</f>
        <v>0</v>
      </c>
      <c r="BI35">
        <f>'3. Frail population'!BI19</f>
        <v>0</v>
      </c>
      <c r="BJ35">
        <f>'3. Frail population'!BJ19</f>
        <v>0</v>
      </c>
      <c r="BK35">
        <f>'3. Frail population'!BK19</f>
        <v>0</v>
      </c>
      <c r="BL35">
        <f>'3. Frail population'!BL19</f>
        <v>0</v>
      </c>
      <c r="BM35">
        <f>'3. Frail population'!BM19</f>
        <v>0</v>
      </c>
      <c r="BN35">
        <f>'3. Frail population'!BN19</f>
        <v>0</v>
      </c>
      <c r="BO35">
        <f>'3. Frail population'!BO19</f>
        <v>0</v>
      </c>
      <c r="BP35">
        <f>'3. Frail population'!BP19</f>
        <v>0</v>
      </c>
      <c r="BQ35">
        <f>'3. Frail population'!BQ19</f>
        <v>0</v>
      </c>
      <c r="BR35">
        <f>'3. Frail population'!BR19</f>
        <v>0</v>
      </c>
      <c r="BS35">
        <f>'3. Frail population'!BS19</f>
        <v>0</v>
      </c>
      <c r="BT35">
        <f>'3. Frail population'!BT19</f>
        <v>0</v>
      </c>
      <c r="BU35">
        <f>'3. Frail population'!BU19</f>
        <v>0</v>
      </c>
      <c r="BV35">
        <f>'3. Frail population'!BV19</f>
        <v>0</v>
      </c>
      <c r="BW35">
        <f>'3. Frail population'!BW19</f>
        <v>0</v>
      </c>
      <c r="BX35">
        <f>'3. Frail population'!BX19</f>
        <v>0</v>
      </c>
      <c r="BY35">
        <f>'3. Frail population'!BY19</f>
        <v>0</v>
      </c>
      <c r="BZ35">
        <f>'3. Frail population'!BZ19</f>
        <v>0</v>
      </c>
      <c r="CA35">
        <f>'3. Frail population'!CA19</f>
        <v>0</v>
      </c>
      <c r="CB35">
        <f>'3. Frail population'!CB19</f>
        <v>0</v>
      </c>
      <c r="CC35">
        <f>'3. Frail population'!CC19</f>
        <v>0</v>
      </c>
      <c r="CD35">
        <f>'3. Frail population'!CD19</f>
        <v>0</v>
      </c>
      <c r="CE35">
        <f>'3. Frail population'!CE19</f>
        <v>0</v>
      </c>
      <c r="CF35">
        <f>'3. Frail population'!CF19</f>
        <v>0</v>
      </c>
      <c r="CG35">
        <f>'3. Frail population'!CG19</f>
        <v>0</v>
      </c>
      <c r="CH35">
        <f>'3. Frail population'!CH19</f>
        <v>0</v>
      </c>
      <c r="CI35">
        <f>'3. Frail population'!CI19</f>
        <v>0</v>
      </c>
      <c r="CJ35">
        <f>'3. Frail population'!CJ19</f>
        <v>0</v>
      </c>
      <c r="CK35">
        <f>'3. Frail population'!CK19</f>
        <v>0</v>
      </c>
      <c r="CL35">
        <f>'3. Frail population'!CL19</f>
        <v>0</v>
      </c>
      <c r="CM35">
        <f>'3. Frail population'!CM19</f>
        <v>0</v>
      </c>
      <c r="CN35">
        <f>'3. Frail population'!CN19</f>
        <v>0</v>
      </c>
      <c r="CO35">
        <f>'3. Frail population'!CO19</f>
        <v>0</v>
      </c>
      <c r="CP35">
        <f>'3. Frail population'!CP19</f>
        <v>0</v>
      </c>
      <c r="CQ35">
        <f>'3. Frail population'!CQ19</f>
        <v>0</v>
      </c>
      <c r="CR35">
        <f>'3. Frail population'!CR19</f>
        <v>0</v>
      </c>
      <c r="CS35">
        <f>'3. Frail population'!CS19</f>
        <v>0</v>
      </c>
      <c r="CT35">
        <f>'3. Frail population'!CT19</f>
        <v>0</v>
      </c>
      <c r="CU35">
        <f>'3. Frail population'!CU19</f>
        <v>0</v>
      </c>
      <c r="CV35">
        <f>'3. Frail population'!CV19</f>
        <v>0</v>
      </c>
      <c r="CW35">
        <f>'3. Frail population'!CW19</f>
        <v>0</v>
      </c>
      <c r="CX35">
        <f>'3. Frail population'!CX19</f>
        <v>0</v>
      </c>
      <c r="CY35">
        <f>'3. Frail population'!CY19</f>
        <v>0</v>
      </c>
    </row>
    <row r="36" spans="1:103" x14ac:dyDescent="0.45">
      <c r="A36" t="str">
        <f>'3. Frail population'!A20</f>
        <v>Frail Population.pre-frail diagnosed[Other, male, age]</v>
      </c>
      <c r="B36">
        <f>'3. Frail population'!B20</f>
        <v>0</v>
      </c>
      <c r="C36">
        <f>'3. Frail population'!C20</f>
        <v>0</v>
      </c>
      <c r="D36">
        <f>'3. Frail population'!D20</f>
        <v>0</v>
      </c>
      <c r="E36">
        <f>'3. Frail population'!E20</f>
        <v>0</v>
      </c>
      <c r="F36">
        <f>'3. Frail population'!F20</f>
        <v>0</v>
      </c>
      <c r="G36">
        <f>'3. Frail population'!G20</f>
        <v>0</v>
      </c>
      <c r="H36">
        <f>'3. Frail population'!H20</f>
        <v>0</v>
      </c>
      <c r="I36">
        <f>'3. Frail population'!I20</f>
        <v>0</v>
      </c>
      <c r="J36">
        <f>'3. Frail population'!J20</f>
        <v>0</v>
      </c>
      <c r="K36">
        <f>'3. Frail population'!K20</f>
        <v>0</v>
      </c>
      <c r="L36">
        <f>'3. Frail population'!L20</f>
        <v>0</v>
      </c>
      <c r="M36">
        <f>'3. Frail population'!M20</f>
        <v>0</v>
      </c>
      <c r="N36">
        <f>'3. Frail population'!N20</f>
        <v>0</v>
      </c>
      <c r="O36">
        <f>'3. Frail population'!O20</f>
        <v>0</v>
      </c>
      <c r="P36">
        <f>'3. Frail population'!P20</f>
        <v>0</v>
      </c>
      <c r="Q36">
        <f>'3. Frail population'!Q20</f>
        <v>0</v>
      </c>
      <c r="R36">
        <f>'3. Frail population'!R20</f>
        <v>0</v>
      </c>
      <c r="S36">
        <f>'3. Frail population'!S20</f>
        <v>0</v>
      </c>
      <c r="T36">
        <f>'3. Frail population'!T20</f>
        <v>0</v>
      </c>
      <c r="U36">
        <f>'3. Frail population'!U20</f>
        <v>0</v>
      </c>
      <c r="V36">
        <f>'3. Frail population'!V20</f>
        <v>0</v>
      </c>
      <c r="W36">
        <f>'3. Frail population'!W20</f>
        <v>0</v>
      </c>
      <c r="X36">
        <f>'3. Frail population'!X20</f>
        <v>0</v>
      </c>
      <c r="Y36">
        <f>'3. Frail population'!Y20</f>
        <v>0</v>
      </c>
      <c r="Z36">
        <f>'3. Frail population'!Z20</f>
        <v>0</v>
      </c>
      <c r="AA36">
        <f>'3. Frail population'!AA20</f>
        <v>0</v>
      </c>
      <c r="AB36">
        <f>'3. Frail population'!AB20</f>
        <v>0</v>
      </c>
      <c r="AC36">
        <f>'3. Frail population'!AC20</f>
        <v>0</v>
      </c>
      <c r="AD36">
        <f>'3. Frail population'!AD20</f>
        <v>0</v>
      </c>
      <c r="AE36">
        <f>'3. Frail population'!AE20</f>
        <v>0</v>
      </c>
      <c r="AF36">
        <f>'3. Frail population'!AF20</f>
        <v>0</v>
      </c>
      <c r="AG36">
        <f>'3. Frail population'!AG20</f>
        <v>0</v>
      </c>
      <c r="AH36">
        <f>'3. Frail population'!AH20</f>
        <v>0</v>
      </c>
      <c r="AI36">
        <f>'3. Frail population'!AI20</f>
        <v>0</v>
      </c>
      <c r="AJ36">
        <f>'3. Frail population'!AJ20</f>
        <v>0</v>
      </c>
      <c r="AK36">
        <f>'3. Frail population'!AK20</f>
        <v>0</v>
      </c>
      <c r="AL36">
        <f>'3. Frail population'!AL20</f>
        <v>0</v>
      </c>
      <c r="AM36">
        <f>'3. Frail population'!AM20</f>
        <v>0</v>
      </c>
      <c r="AN36">
        <f>'3. Frail population'!AN20</f>
        <v>0</v>
      </c>
      <c r="AO36">
        <f>'3. Frail population'!AO20</f>
        <v>0</v>
      </c>
      <c r="AP36">
        <f>'3. Frail population'!AP20</f>
        <v>0</v>
      </c>
      <c r="AQ36">
        <f>'3. Frail population'!AQ20</f>
        <v>0</v>
      </c>
      <c r="AR36">
        <f>'3. Frail population'!AR20</f>
        <v>0</v>
      </c>
      <c r="AS36">
        <f>'3. Frail population'!AS20</f>
        <v>0</v>
      </c>
      <c r="AT36">
        <f>'3. Frail population'!AT20</f>
        <v>0</v>
      </c>
      <c r="AU36">
        <f>'3. Frail population'!AU20</f>
        <v>0</v>
      </c>
      <c r="AV36">
        <f>'3. Frail population'!AV20</f>
        <v>0</v>
      </c>
      <c r="AW36">
        <f>'3. Frail population'!AW20</f>
        <v>0</v>
      </c>
      <c r="AX36">
        <f>'3. Frail population'!AX20</f>
        <v>0</v>
      </c>
      <c r="AY36">
        <f>'3. Frail population'!AY20</f>
        <v>0</v>
      </c>
      <c r="AZ36">
        <f>'3. Frail population'!AZ20</f>
        <v>0</v>
      </c>
      <c r="BA36">
        <f>'3. Frail population'!BA20</f>
        <v>0</v>
      </c>
      <c r="BB36">
        <f>'3. Frail population'!BB20</f>
        <v>0</v>
      </c>
      <c r="BC36">
        <f>'3. Frail population'!BC20</f>
        <v>0</v>
      </c>
      <c r="BD36">
        <f>'3. Frail population'!BD20</f>
        <v>0</v>
      </c>
      <c r="BE36">
        <f>'3. Frail population'!BE20</f>
        <v>0</v>
      </c>
      <c r="BF36">
        <f>'3. Frail population'!BF20</f>
        <v>0</v>
      </c>
      <c r="BG36">
        <f>'3. Frail population'!BG20</f>
        <v>0</v>
      </c>
      <c r="BH36">
        <f>'3. Frail population'!BH20</f>
        <v>0</v>
      </c>
      <c r="BI36">
        <f>'3. Frail population'!BI20</f>
        <v>0</v>
      </c>
      <c r="BJ36">
        <f>'3. Frail population'!BJ20</f>
        <v>0</v>
      </c>
      <c r="BK36">
        <f>'3. Frail population'!BK20</f>
        <v>0</v>
      </c>
      <c r="BL36">
        <f>'3. Frail population'!BL20</f>
        <v>0</v>
      </c>
      <c r="BM36">
        <f>'3. Frail population'!BM20</f>
        <v>0</v>
      </c>
      <c r="BN36">
        <f>'3. Frail population'!BN20</f>
        <v>0</v>
      </c>
      <c r="BO36">
        <f>'3. Frail population'!BO20</f>
        <v>0</v>
      </c>
      <c r="BP36">
        <f>'3. Frail population'!BP20</f>
        <v>0</v>
      </c>
      <c r="BQ36">
        <f>'3. Frail population'!BQ20</f>
        <v>0</v>
      </c>
      <c r="BR36">
        <f>'3. Frail population'!BR20</f>
        <v>0</v>
      </c>
      <c r="BS36">
        <f>'3. Frail population'!BS20</f>
        <v>0</v>
      </c>
      <c r="BT36">
        <f>'3. Frail population'!BT20</f>
        <v>0</v>
      </c>
      <c r="BU36">
        <f>'3. Frail population'!BU20</f>
        <v>0</v>
      </c>
      <c r="BV36">
        <f>'3. Frail population'!BV20</f>
        <v>0</v>
      </c>
      <c r="BW36">
        <f>'3. Frail population'!BW20</f>
        <v>0</v>
      </c>
      <c r="BX36">
        <f>'3. Frail population'!BX20</f>
        <v>0</v>
      </c>
      <c r="BY36">
        <f>'3. Frail population'!BY20</f>
        <v>0</v>
      </c>
      <c r="BZ36">
        <f>'3. Frail population'!BZ20</f>
        <v>0</v>
      </c>
      <c r="CA36">
        <f>'3. Frail population'!CA20</f>
        <v>0</v>
      </c>
      <c r="CB36">
        <f>'3. Frail population'!CB20</f>
        <v>0</v>
      </c>
      <c r="CC36">
        <f>'3. Frail population'!CC20</f>
        <v>0</v>
      </c>
      <c r="CD36">
        <f>'3. Frail population'!CD20</f>
        <v>0</v>
      </c>
      <c r="CE36">
        <f>'3. Frail population'!CE20</f>
        <v>0</v>
      </c>
      <c r="CF36">
        <f>'3. Frail population'!CF20</f>
        <v>0</v>
      </c>
      <c r="CG36">
        <f>'3. Frail population'!CG20</f>
        <v>0</v>
      </c>
      <c r="CH36">
        <f>'3. Frail population'!CH20</f>
        <v>0</v>
      </c>
      <c r="CI36">
        <f>'3. Frail population'!CI20</f>
        <v>0</v>
      </c>
      <c r="CJ36">
        <f>'3. Frail population'!CJ20</f>
        <v>0</v>
      </c>
      <c r="CK36">
        <f>'3. Frail population'!CK20</f>
        <v>0</v>
      </c>
      <c r="CL36">
        <f>'3. Frail population'!CL20</f>
        <v>0</v>
      </c>
      <c r="CM36">
        <f>'3. Frail population'!CM20</f>
        <v>0</v>
      </c>
      <c r="CN36">
        <f>'3. Frail population'!CN20</f>
        <v>0</v>
      </c>
      <c r="CO36">
        <f>'3. Frail population'!CO20</f>
        <v>0</v>
      </c>
      <c r="CP36">
        <f>'3. Frail population'!CP20</f>
        <v>0</v>
      </c>
      <c r="CQ36">
        <f>'3. Frail population'!CQ20</f>
        <v>0</v>
      </c>
      <c r="CR36">
        <f>'3. Frail population'!CR20</f>
        <v>0</v>
      </c>
      <c r="CS36">
        <f>'3. Frail population'!CS20</f>
        <v>0</v>
      </c>
      <c r="CT36">
        <f>'3. Frail population'!CT20</f>
        <v>0</v>
      </c>
      <c r="CU36">
        <f>'3. Frail population'!CU20</f>
        <v>0</v>
      </c>
      <c r="CV36">
        <f>'3. Frail population'!CV20</f>
        <v>0</v>
      </c>
      <c r="CW36">
        <f>'3. Frail population'!CW20</f>
        <v>0</v>
      </c>
      <c r="CX36">
        <f>'3. Frail population'!CX20</f>
        <v>0</v>
      </c>
      <c r="CY36">
        <f>'3. Frail population'!CY20</f>
        <v>0</v>
      </c>
    </row>
    <row r="37" spans="1:103" x14ac:dyDescent="0.45">
      <c r="A37" t="str">
        <f>'3. Frail population'!A21</f>
        <v>Frail Population.pre-frail diagnosed[Other, female, age]</v>
      </c>
      <c r="B37">
        <f>'3. Frail population'!B21</f>
        <v>0</v>
      </c>
      <c r="C37">
        <f>'3. Frail population'!C21</f>
        <v>0</v>
      </c>
      <c r="D37">
        <f>'3. Frail population'!D21</f>
        <v>0</v>
      </c>
      <c r="E37">
        <f>'3. Frail population'!E21</f>
        <v>0</v>
      </c>
      <c r="F37">
        <f>'3. Frail population'!F21</f>
        <v>0</v>
      </c>
      <c r="G37">
        <f>'3. Frail population'!G21</f>
        <v>0</v>
      </c>
      <c r="H37">
        <f>'3. Frail population'!H21</f>
        <v>0</v>
      </c>
      <c r="I37">
        <f>'3. Frail population'!I21</f>
        <v>0</v>
      </c>
      <c r="J37">
        <f>'3. Frail population'!J21</f>
        <v>0</v>
      </c>
      <c r="K37">
        <f>'3. Frail population'!K21</f>
        <v>0</v>
      </c>
      <c r="L37">
        <f>'3. Frail population'!L21</f>
        <v>0</v>
      </c>
      <c r="M37">
        <f>'3. Frail population'!M21</f>
        <v>0</v>
      </c>
      <c r="N37">
        <f>'3. Frail population'!N21</f>
        <v>0</v>
      </c>
      <c r="O37">
        <f>'3. Frail population'!O21</f>
        <v>0</v>
      </c>
      <c r="P37">
        <f>'3. Frail population'!P21</f>
        <v>0</v>
      </c>
      <c r="Q37">
        <f>'3. Frail population'!Q21</f>
        <v>0</v>
      </c>
      <c r="R37">
        <f>'3. Frail population'!R21</f>
        <v>0</v>
      </c>
      <c r="S37">
        <f>'3. Frail population'!S21</f>
        <v>0</v>
      </c>
      <c r="T37">
        <f>'3. Frail population'!T21</f>
        <v>0</v>
      </c>
      <c r="U37">
        <f>'3. Frail population'!U21</f>
        <v>0</v>
      </c>
      <c r="V37">
        <f>'3. Frail population'!V21</f>
        <v>0</v>
      </c>
      <c r="W37">
        <f>'3. Frail population'!W21</f>
        <v>0</v>
      </c>
      <c r="X37">
        <f>'3. Frail population'!X21</f>
        <v>0</v>
      </c>
      <c r="Y37">
        <f>'3. Frail population'!Y21</f>
        <v>0</v>
      </c>
      <c r="Z37">
        <f>'3. Frail population'!Z21</f>
        <v>0</v>
      </c>
      <c r="AA37">
        <f>'3. Frail population'!AA21</f>
        <v>0</v>
      </c>
      <c r="AB37">
        <f>'3. Frail population'!AB21</f>
        <v>0</v>
      </c>
      <c r="AC37">
        <f>'3. Frail population'!AC21</f>
        <v>0</v>
      </c>
      <c r="AD37">
        <f>'3. Frail population'!AD21</f>
        <v>0</v>
      </c>
      <c r="AE37">
        <f>'3. Frail population'!AE21</f>
        <v>0</v>
      </c>
      <c r="AF37">
        <f>'3. Frail population'!AF21</f>
        <v>0</v>
      </c>
      <c r="AG37">
        <f>'3. Frail population'!AG21</f>
        <v>0</v>
      </c>
      <c r="AH37">
        <f>'3. Frail population'!AH21</f>
        <v>0</v>
      </c>
      <c r="AI37">
        <f>'3. Frail population'!AI21</f>
        <v>0</v>
      </c>
      <c r="AJ37">
        <f>'3. Frail population'!AJ21</f>
        <v>0</v>
      </c>
      <c r="AK37">
        <f>'3. Frail population'!AK21</f>
        <v>0</v>
      </c>
      <c r="AL37">
        <f>'3. Frail population'!AL21</f>
        <v>0</v>
      </c>
      <c r="AM37">
        <f>'3. Frail population'!AM21</f>
        <v>0</v>
      </c>
      <c r="AN37">
        <f>'3. Frail population'!AN21</f>
        <v>0</v>
      </c>
      <c r="AO37">
        <f>'3. Frail population'!AO21</f>
        <v>0</v>
      </c>
      <c r="AP37">
        <f>'3. Frail population'!AP21</f>
        <v>0</v>
      </c>
      <c r="AQ37">
        <f>'3. Frail population'!AQ21</f>
        <v>0</v>
      </c>
      <c r="AR37">
        <f>'3. Frail population'!AR21</f>
        <v>0</v>
      </c>
      <c r="AS37">
        <f>'3. Frail population'!AS21</f>
        <v>0</v>
      </c>
      <c r="AT37">
        <f>'3. Frail population'!AT21</f>
        <v>0</v>
      </c>
      <c r="AU37">
        <f>'3. Frail population'!AU21</f>
        <v>0</v>
      </c>
      <c r="AV37">
        <f>'3. Frail population'!AV21</f>
        <v>0</v>
      </c>
      <c r="AW37">
        <f>'3. Frail population'!AW21</f>
        <v>0</v>
      </c>
      <c r="AX37">
        <f>'3. Frail population'!AX21</f>
        <v>0</v>
      </c>
      <c r="AY37">
        <f>'3. Frail population'!AY21</f>
        <v>0</v>
      </c>
      <c r="AZ37">
        <f>'3. Frail population'!AZ21</f>
        <v>0</v>
      </c>
      <c r="BA37">
        <f>'3. Frail population'!BA21</f>
        <v>0</v>
      </c>
      <c r="BB37">
        <f>'3. Frail population'!BB21</f>
        <v>0</v>
      </c>
      <c r="BC37">
        <f>'3. Frail population'!BC21</f>
        <v>0</v>
      </c>
      <c r="BD37">
        <f>'3. Frail population'!BD21</f>
        <v>0</v>
      </c>
      <c r="BE37">
        <f>'3. Frail population'!BE21</f>
        <v>0</v>
      </c>
      <c r="BF37">
        <f>'3. Frail population'!BF21</f>
        <v>0</v>
      </c>
      <c r="BG37">
        <f>'3. Frail population'!BG21</f>
        <v>0</v>
      </c>
      <c r="BH37">
        <f>'3. Frail population'!BH21</f>
        <v>0</v>
      </c>
      <c r="BI37">
        <f>'3. Frail population'!BI21</f>
        <v>0</v>
      </c>
      <c r="BJ37">
        <f>'3. Frail population'!BJ21</f>
        <v>0</v>
      </c>
      <c r="BK37">
        <f>'3. Frail population'!BK21</f>
        <v>0</v>
      </c>
      <c r="BL37">
        <f>'3. Frail population'!BL21</f>
        <v>0</v>
      </c>
      <c r="BM37">
        <f>'3. Frail population'!BM21</f>
        <v>0</v>
      </c>
      <c r="BN37">
        <f>'3. Frail population'!BN21</f>
        <v>0</v>
      </c>
      <c r="BO37">
        <f>'3. Frail population'!BO21</f>
        <v>0</v>
      </c>
      <c r="BP37">
        <f>'3. Frail population'!BP21</f>
        <v>0</v>
      </c>
      <c r="BQ37">
        <f>'3. Frail population'!BQ21</f>
        <v>0</v>
      </c>
      <c r="BR37">
        <f>'3. Frail population'!BR21</f>
        <v>0</v>
      </c>
      <c r="BS37">
        <f>'3. Frail population'!BS21</f>
        <v>0</v>
      </c>
      <c r="BT37">
        <f>'3. Frail population'!BT21</f>
        <v>0</v>
      </c>
      <c r="BU37">
        <f>'3. Frail population'!BU21</f>
        <v>0</v>
      </c>
      <c r="BV37">
        <f>'3. Frail population'!BV21</f>
        <v>0</v>
      </c>
      <c r="BW37">
        <f>'3. Frail population'!BW21</f>
        <v>0</v>
      </c>
      <c r="BX37">
        <f>'3. Frail population'!BX21</f>
        <v>0</v>
      </c>
      <c r="BY37">
        <f>'3. Frail population'!BY21</f>
        <v>0</v>
      </c>
      <c r="BZ37">
        <f>'3. Frail population'!BZ21</f>
        <v>0</v>
      </c>
      <c r="CA37">
        <f>'3. Frail population'!CA21</f>
        <v>0</v>
      </c>
      <c r="CB37">
        <f>'3. Frail population'!CB21</f>
        <v>0</v>
      </c>
      <c r="CC37">
        <f>'3. Frail population'!CC21</f>
        <v>0</v>
      </c>
      <c r="CD37">
        <f>'3. Frail population'!CD21</f>
        <v>0</v>
      </c>
      <c r="CE37">
        <f>'3. Frail population'!CE21</f>
        <v>0</v>
      </c>
      <c r="CF37">
        <f>'3. Frail population'!CF21</f>
        <v>0</v>
      </c>
      <c r="CG37">
        <f>'3. Frail population'!CG21</f>
        <v>0</v>
      </c>
      <c r="CH37">
        <f>'3. Frail population'!CH21</f>
        <v>0</v>
      </c>
      <c r="CI37">
        <f>'3. Frail population'!CI21</f>
        <v>0</v>
      </c>
      <c r="CJ37">
        <f>'3. Frail population'!CJ21</f>
        <v>0</v>
      </c>
      <c r="CK37">
        <f>'3. Frail population'!CK21</f>
        <v>0</v>
      </c>
      <c r="CL37">
        <f>'3. Frail population'!CL21</f>
        <v>0</v>
      </c>
      <c r="CM37">
        <f>'3. Frail population'!CM21</f>
        <v>0</v>
      </c>
      <c r="CN37">
        <f>'3. Frail population'!CN21</f>
        <v>0</v>
      </c>
      <c r="CO37">
        <f>'3. Frail population'!CO21</f>
        <v>0</v>
      </c>
      <c r="CP37">
        <f>'3. Frail population'!CP21</f>
        <v>0</v>
      </c>
      <c r="CQ37">
        <f>'3. Frail population'!CQ21</f>
        <v>0</v>
      </c>
      <c r="CR37">
        <f>'3. Frail population'!CR21</f>
        <v>0</v>
      </c>
      <c r="CS37">
        <f>'3. Frail population'!CS21</f>
        <v>0</v>
      </c>
      <c r="CT37">
        <f>'3. Frail population'!CT21</f>
        <v>0</v>
      </c>
      <c r="CU37">
        <f>'3. Frail population'!CU21</f>
        <v>0</v>
      </c>
      <c r="CV37">
        <f>'3. Frail population'!CV21</f>
        <v>0</v>
      </c>
      <c r="CW37">
        <f>'3. Frail population'!CW21</f>
        <v>0</v>
      </c>
      <c r="CX37">
        <f>'3. Frail population'!CX21</f>
        <v>0</v>
      </c>
      <c r="CY37">
        <f>'3. Frail population'!CY21</f>
        <v>0</v>
      </c>
    </row>
    <row r="38" spans="1:103" x14ac:dyDescent="0.45">
      <c r="A38" t="str">
        <f>'3. Frail population'!A24</f>
        <v>Frail Population.initial frailty prevalence[Chinese, male, age]</v>
      </c>
      <c r="B38">
        <f>'3. Frail population'!B24</f>
        <v>0</v>
      </c>
      <c r="C38">
        <f>'3. Frail population'!C24</f>
        <v>0</v>
      </c>
      <c r="D38">
        <f>'3. Frail population'!D24</f>
        <v>0</v>
      </c>
      <c r="E38">
        <f>'3. Frail population'!E24</f>
        <v>0</v>
      </c>
      <c r="F38">
        <f>'3. Frail population'!F24</f>
        <v>0</v>
      </c>
      <c r="G38">
        <f>'3. Frail population'!G24</f>
        <v>0</v>
      </c>
      <c r="H38">
        <f>'3. Frail population'!H24</f>
        <v>0</v>
      </c>
      <c r="I38">
        <f>'3. Frail population'!I24</f>
        <v>0</v>
      </c>
      <c r="J38">
        <f>'3. Frail population'!J24</f>
        <v>0</v>
      </c>
      <c r="K38">
        <f>'3. Frail population'!K24</f>
        <v>0</v>
      </c>
      <c r="L38">
        <f>'3. Frail population'!L24</f>
        <v>0</v>
      </c>
      <c r="M38">
        <f>'3. Frail population'!M24</f>
        <v>0</v>
      </c>
      <c r="N38">
        <f>'3. Frail population'!N24</f>
        <v>0</v>
      </c>
      <c r="O38">
        <f>'3. Frail population'!O24</f>
        <v>0</v>
      </c>
      <c r="P38">
        <f>'3. Frail population'!P24</f>
        <v>0</v>
      </c>
      <c r="Q38">
        <f>'3. Frail population'!Q24</f>
        <v>0</v>
      </c>
      <c r="R38">
        <f>'3. Frail population'!R24</f>
        <v>0</v>
      </c>
      <c r="S38">
        <f>'3. Frail population'!S24</f>
        <v>0</v>
      </c>
      <c r="T38">
        <f>'3. Frail population'!T24</f>
        <v>0</v>
      </c>
      <c r="U38">
        <f>'3. Frail population'!U24</f>
        <v>0</v>
      </c>
      <c r="V38">
        <f>'3. Frail population'!V24</f>
        <v>0</v>
      </c>
      <c r="W38">
        <f>'3. Frail population'!W24</f>
        <v>0</v>
      </c>
      <c r="X38">
        <f>'3. Frail population'!X24</f>
        <v>0</v>
      </c>
      <c r="Y38">
        <f>'3. Frail population'!Y24</f>
        <v>0</v>
      </c>
      <c r="Z38">
        <f>'3. Frail population'!Z24</f>
        <v>0</v>
      </c>
      <c r="AA38">
        <f>'3. Frail population'!AA24</f>
        <v>0</v>
      </c>
      <c r="AB38">
        <f>'3. Frail population'!AB24</f>
        <v>0</v>
      </c>
      <c r="AC38">
        <f>'3. Frail population'!AC24</f>
        <v>0</v>
      </c>
      <c r="AD38">
        <f>'3. Frail population'!AD24</f>
        <v>0</v>
      </c>
      <c r="AE38">
        <f>'3. Frail population'!AE24</f>
        <v>0</v>
      </c>
      <c r="AF38">
        <f>'3. Frail population'!AF24</f>
        <v>0</v>
      </c>
      <c r="AG38">
        <f>'3. Frail population'!AG24</f>
        <v>0</v>
      </c>
      <c r="AH38">
        <f>'3. Frail population'!AH24</f>
        <v>0</v>
      </c>
      <c r="AI38">
        <f>'3. Frail population'!AI24</f>
        <v>0</v>
      </c>
      <c r="AJ38">
        <f>'3. Frail population'!AJ24</f>
        <v>0</v>
      </c>
      <c r="AK38">
        <f>'3. Frail population'!AK24</f>
        <v>0</v>
      </c>
      <c r="AL38">
        <f>'3. Frail population'!AL24</f>
        <v>0</v>
      </c>
      <c r="AM38">
        <f>'3. Frail population'!AM24</f>
        <v>0</v>
      </c>
      <c r="AN38">
        <f>'3. Frail population'!AN24</f>
        <v>0</v>
      </c>
      <c r="AO38">
        <f>'3. Frail population'!AO24</f>
        <v>0</v>
      </c>
      <c r="AP38">
        <f>'3. Frail population'!AP24</f>
        <v>0</v>
      </c>
      <c r="AQ38">
        <f>'3. Frail population'!AQ24</f>
        <v>0</v>
      </c>
      <c r="AR38">
        <f>'3. Frail population'!AR24</f>
        <v>0</v>
      </c>
      <c r="AS38">
        <f>'3. Frail population'!AS24</f>
        <v>0</v>
      </c>
      <c r="AT38">
        <f>'3. Frail population'!AT24</f>
        <v>0</v>
      </c>
      <c r="AU38">
        <f>'3. Frail population'!AU24</f>
        <v>0</v>
      </c>
      <c r="AV38">
        <f>'3. Frail population'!AV24</f>
        <v>0</v>
      </c>
      <c r="AW38">
        <f>'3. Frail population'!AW24</f>
        <v>0</v>
      </c>
      <c r="AX38">
        <f>'3. Frail population'!AX24</f>
        <v>0</v>
      </c>
      <c r="AY38">
        <f>'3. Frail population'!AY24</f>
        <v>0</v>
      </c>
      <c r="AZ38">
        <f>'3. Frail population'!AZ24</f>
        <v>0</v>
      </c>
      <c r="BA38">
        <f>'3. Frail population'!BA24</f>
        <v>3.0107073521279978E-3</v>
      </c>
      <c r="BB38">
        <f>'3. Frail population'!BB24</f>
        <v>6.0214147042559956E-3</v>
      </c>
      <c r="BC38">
        <f>'3. Frail population'!BC24</f>
        <v>9.0321220563839948E-3</v>
      </c>
      <c r="BD38">
        <f>'3. Frail population'!BD24</f>
        <v>1.2042829408511991E-2</v>
      </c>
      <c r="BE38">
        <f>'3. Frail population'!BE24</f>
        <v>1.505353676063999E-2</v>
      </c>
      <c r="BF38">
        <f>'3. Frail population'!BF24</f>
        <v>1.806424411276799E-2</v>
      </c>
      <c r="BG38">
        <f>'3. Frail population'!BG24</f>
        <v>2.1074951464895988E-2</v>
      </c>
      <c r="BH38">
        <f>'3. Frail population'!BH24</f>
        <v>2.4085658817023983E-2</v>
      </c>
      <c r="BI38">
        <f>'3. Frail population'!BI24</f>
        <v>2.7096366169151984E-2</v>
      </c>
      <c r="BJ38">
        <f>'3. Frail population'!BJ24</f>
        <v>3.0107073521279979E-2</v>
      </c>
      <c r="BK38">
        <f>'3. Frail population'!BK24</f>
        <v>3.3117780873407977E-2</v>
      </c>
      <c r="BL38">
        <f>'3. Frail population'!BL24</f>
        <v>3.3117780873407977E-2</v>
      </c>
      <c r="BM38">
        <f>'3. Frail population'!BM24</f>
        <v>3.3117780873407977E-2</v>
      </c>
      <c r="BN38">
        <f>'3. Frail population'!BN24</f>
        <v>3.3117780873407977E-2</v>
      </c>
      <c r="BO38">
        <f>'3. Frail population'!BO24</f>
        <v>3.3117780873407977E-2</v>
      </c>
      <c r="BP38">
        <f>'3. Frail population'!BP24</f>
        <v>3.3117780873407977E-2</v>
      </c>
      <c r="BQ38">
        <f>'3. Frail population'!BQ24</f>
        <v>3.3117780873407977E-2</v>
      </c>
      <c r="BR38">
        <f>'3. Frail population'!BR24</f>
        <v>3.3117780873407977E-2</v>
      </c>
      <c r="BS38">
        <f>'3. Frail population'!BS24</f>
        <v>3.3117780873407977E-2</v>
      </c>
      <c r="BT38">
        <f>'3. Frail population'!BT24</f>
        <v>3.3117780873407977E-2</v>
      </c>
      <c r="BU38">
        <f>'3. Frail population'!BU24</f>
        <v>3.3117780873407977E-2</v>
      </c>
      <c r="BV38">
        <f>'3. Frail population'!BV24</f>
        <v>3.3117780873407977E-2</v>
      </c>
      <c r="BW38">
        <f>'3. Frail population'!BW24</f>
        <v>3.3117780873407977E-2</v>
      </c>
      <c r="BX38">
        <f>'3. Frail population'!BX24</f>
        <v>3.3117780873407977E-2</v>
      </c>
      <c r="BY38">
        <f>'3. Frail population'!BY24</f>
        <v>3.3117780873407977E-2</v>
      </c>
      <c r="BZ38">
        <f>'3. Frail population'!BZ24</f>
        <v>0.10804835916912281</v>
      </c>
      <c r="CA38">
        <f>'3. Frail population'!CA24</f>
        <v>0.10804835916912281</v>
      </c>
      <c r="CB38">
        <f>'3. Frail population'!CB24</f>
        <v>0.10804835916912281</v>
      </c>
      <c r="CC38">
        <f>'3. Frail population'!CC24</f>
        <v>0.10804835916912281</v>
      </c>
      <c r="CD38">
        <f>'3. Frail population'!CD24</f>
        <v>0.10804835916912281</v>
      </c>
      <c r="CE38">
        <f>'3. Frail population'!CE24</f>
        <v>0.10804835916912281</v>
      </c>
      <c r="CF38">
        <f>'3. Frail population'!CF24</f>
        <v>0.10804835916912281</v>
      </c>
      <c r="CG38">
        <f>'3. Frail population'!CG24</f>
        <v>0.10804835916912281</v>
      </c>
      <c r="CH38">
        <f>'3. Frail population'!CH24</f>
        <v>0.10804835916912281</v>
      </c>
      <c r="CI38">
        <f>'3. Frail population'!CI24</f>
        <v>0.10804835916912281</v>
      </c>
      <c r="CJ38">
        <f>'3. Frail population'!CJ24</f>
        <v>0.25780987216874102</v>
      </c>
      <c r="CK38">
        <f>'3. Frail population'!CK24</f>
        <v>0.25780987216874102</v>
      </c>
      <c r="CL38">
        <f>'3. Frail population'!CL24</f>
        <v>0.25780987216874102</v>
      </c>
      <c r="CM38">
        <f>'3. Frail population'!CM24</f>
        <v>0.25780987216874102</v>
      </c>
      <c r="CN38">
        <f>'3. Frail population'!CN24</f>
        <v>0.25780987216874102</v>
      </c>
      <c r="CO38">
        <f>'3. Frail population'!CO24</f>
        <v>0.25780987216874102</v>
      </c>
      <c r="CP38">
        <f>'3. Frail population'!CP24</f>
        <v>0.25780987216874102</v>
      </c>
      <c r="CQ38">
        <f>'3. Frail population'!CQ24</f>
        <v>0.25780987216874102</v>
      </c>
      <c r="CR38">
        <f>'3. Frail population'!CR24</f>
        <v>0.25780987216874102</v>
      </c>
      <c r="CS38">
        <f>'3. Frail population'!CS24</f>
        <v>0.25780987216874102</v>
      </c>
      <c r="CT38">
        <f>'3. Frail population'!CT24</f>
        <v>0.25780987216874102</v>
      </c>
      <c r="CU38">
        <f>'3. Frail population'!CU24</f>
        <v>0.25780987216874102</v>
      </c>
      <c r="CV38">
        <f>'3. Frail population'!CV24</f>
        <v>0.25780987216874102</v>
      </c>
      <c r="CW38">
        <f>'3. Frail population'!CW24</f>
        <v>0.25780987216874102</v>
      </c>
      <c r="CX38">
        <f>'3. Frail population'!CX24</f>
        <v>0.25780987216874102</v>
      </c>
      <c r="CY38">
        <f>'3. Frail population'!CY24</f>
        <v>0.25780987216874102</v>
      </c>
    </row>
    <row r="39" spans="1:103" x14ac:dyDescent="0.45">
      <c r="A39" t="str">
        <f>'3. Frail population'!A25</f>
        <v>Frail Population.initial frailty prevalence[Chinese, female, age]</v>
      </c>
      <c r="B39">
        <f>'3. Frail population'!B25</f>
        <v>0</v>
      </c>
      <c r="C39">
        <f>'3. Frail population'!C25</f>
        <v>0</v>
      </c>
      <c r="D39">
        <f>'3. Frail population'!D25</f>
        <v>0</v>
      </c>
      <c r="E39">
        <f>'3. Frail population'!E25</f>
        <v>0</v>
      </c>
      <c r="F39">
        <f>'3. Frail population'!F25</f>
        <v>0</v>
      </c>
      <c r="G39">
        <f>'3. Frail population'!G25</f>
        <v>0</v>
      </c>
      <c r="H39">
        <f>'3. Frail population'!H25</f>
        <v>0</v>
      </c>
      <c r="I39">
        <f>'3. Frail population'!I25</f>
        <v>0</v>
      </c>
      <c r="J39">
        <f>'3. Frail population'!J25</f>
        <v>0</v>
      </c>
      <c r="K39">
        <f>'3. Frail population'!K25</f>
        <v>0</v>
      </c>
      <c r="L39">
        <f>'3. Frail population'!L25</f>
        <v>0</v>
      </c>
      <c r="M39">
        <f>'3. Frail population'!M25</f>
        <v>0</v>
      </c>
      <c r="N39">
        <f>'3. Frail population'!N25</f>
        <v>0</v>
      </c>
      <c r="O39">
        <f>'3. Frail population'!O25</f>
        <v>0</v>
      </c>
      <c r="P39">
        <f>'3. Frail population'!P25</f>
        <v>0</v>
      </c>
      <c r="Q39">
        <f>'3. Frail population'!Q25</f>
        <v>0</v>
      </c>
      <c r="R39">
        <f>'3. Frail population'!R25</f>
        <v>0</v>
      </c>
      <c r="S39">
        <f>'3. Frail population'!S25</f>
        <v>0</v>
      </c>
      <c r="T39">
        <f>'3. Frail population'!T25</f>
        <v>0</v>
      </c>
      <c r="U39">
        <f>'3. Frail population'!U25</f>
        <v>0</v>
      </c>
      <c r="V39">
        <f>'3. Frail population'!V25</f>
        <v>0</v>
      </c>
      <c r="W39">
        <f>'3. Frail population'!W25</f>
        <v>0</v>
      </c>
      <c r="X39">
        <f>'3. Frail population'!X25</f>
        <v>0</v>
      </c>
      <c r="Y39">
        <f>'3. Frail population'!Y25</f>
        <v>0</v>
      </c>
      <c r="Z39">
        <f>'3. Frail population'!Z25</f>
        <v>0</v>
      </c>
      <c r="AA39">
        <f>'3. Frail population'!AA25</f>
        <v>0</v>
      </c>
      <c r="AB39">
        <f>'3. Frail population'!AB25</f>
        <v>0</v>
      </c>
      <c r="AC39">
        <f>'3. Frail population'!AC25</f>
        <v>0</v>
      </c>
      <c r="AD39">
        <f>'3. Frail population'!AD25</f>
        <v>0</v>
      </c>
      <c r="AE39">
        <f>'3. Frail population'!AE25</f>
        <v>0</v>
      </c>
      <c r="AF39">
        <f>'3. Frail population'!AF25</f>
        <v>0</v>
      </c>
      <c r="AG39">
        <f>'3. Frail population'!AG25</f>
        <v>0</v>
      </c>
      <c r="AH39">
        <f>'3. Frail population'!AH25</f>
        <v>0</v>
      </c>
      <c r="AI39">
        <f>'3. Frail population'!AI25</f>
        <v>0</v>
      </c>
      <c r="AJ39">
        <f>'3. Frail population'!AJ25</f>
        <v>0</v>
      </c>
      <c r="AK39">
        <f>'3. Frail population'!AK25</f>
        <v>0</v>
      </c>
      <c r="AL39">
        <f>'3. Frail population'!AL25</f>
        <v>0</v>
      </c>
      <c r="AM39">
        <f>'3. Frail population'!AM25</f>
        <v>0</v>
      </c>
      <c r="AN39">
        <f>'3. Frail population'!AN25</f>
        <v>0</v>
      </c>
      <c r="AO39">
        <f>'3. Frail population'!AO25</f>
        <v>0</v>
      </c>
      <c r="AP39">
        <f>'3. Frail population'!AP25</f>
        <v>0</v>
      </c>
      <c r="AQ39">
        <f>'3. Frail population'!AQ25</f>
        <v>0</v>
      </c>
      <c r="AR39">
        <f>'3. Frail population'!AR25</f>
        <v>0</v>
      </c>
      <c r="AS39">
        <f>'3. Frail population'!AS25</f>
        <v>0</v>
      </c>
      <c r="AT39">
        <f>'3. Frail population'!AT25</f>
        <v>0</v>
      </c>
      <c r="AU39">
        <f>'3. Frail population'!AU25</f>
        <v>0</v>
      </c>
      <c r="AV39">
        <f>'3. Frail population'!AV25</f>
        <v>0</v>
      </c>
      <c r="AW39">
        <f>'3. Frail population'!AW25</f>
        <v>0</v>
      </c>
      <c r="AX39">
        <f>'3. Frail population'!AX25</f>
        <v>0</v>
      </c>
      <c r="AY39">
        <f>'3. Frail population'!AY25</f>
        <v>0</v>
      </c>
      <c r="AZ39">
        <f>'3. Frail population'!AZ25</f>
        <v>0</v>
      </c>
      <c r="BA39">
        <f>'3. Frail population'!BA25</f>
        <v>3.204032616396298E-3</v>
      </c>
      <c r="BB39">
        <f>'3. Frail population'!BB25</f>
        <v>6.4080652327925961E-3</v>
      </c>
      <c r="BC39">
        <f>'3. Frail population'!BC25</f>
        <v>9.6120978491888946E-3</v>
      </c>
      <c r="BD39">
        <f>'3. Frail population'!BD25</f>
        <v>1.2816130465585192E-2</v>
      </c>
      <c r="BE39">
        <f>'3. Frail population'!BE25</f>
        <v>1.6020163081981491E-2</v>
      </c>
      <c r="BF39">
        <f>'3. Frail population'!BF25</f>
        <v>1.9224195698377789E-2</v>
      </c>
      <c r="BG39">
        <f>'3. Frail population'!BG25</f>
        <v>2.2428228314774087E-2</v>
      </c>
      <c r="BH39">
        <f>'3. Frail population'!BH25</f>
        <v>2.5632260931170384E-2</v>
      </c>
      <c r="BI39">
        <f>'3. Frail population'!BI25</f>
        <v>2.8836293547566682E-2</v>
      </c>
      <c r="BJ39">
        <f>'3. Frail population'!BJ25</f>
        <v>3.2040326163962983E-2</v>
      </c>
      <c r="BK39">
        <f>'3. Frail population'!BK25</f>
        <v>3.5244358780359281E-2</v>
      </c>
      <c r="BL39">
        <f>'3. Frail population'!BL25</f>
        <v>3.5244358780359281E-2</v>
      </c>
      <c r="BM39">
        <f>'3. Frail population'!BM25</f>
        <v>3.5244358780359281E-2</v>
      </c>
      <c r="BN39">
        <f>'3. Frail population'!BN25</f>
        <v>3.5244358780359281E-2</v>
      </c>
      <c r="BO39">
        <f>'3. Frail population'!BO25</f>
        <v>3.5244358780359281E-2</v>
      </c>
      <c r="BP39">
        <f>'3. Frail population'!BP25</f>
        <v>3.5244358780359281E-2</v>
      </c>
      <c r="BQ39">
        <f>'3. Frail population'!BQ25</f>
        <v>3.5244358780359281E-2</v>
      </c>
      <c r="BR39">
        <f>'3. Frail population'!BR25</f>
        <v>3.5244358780359281E-2</v>
      </c>
      <c r="BS39">
        <f>'3. Frail population'!BS25</f>
        <v>3.5244358780359281E-2</v>
      </c>
      <c r="BT39">
        <f>'3. Frail population'!BT25</f>
        <v>3.5244358780359281E-2</v>
      </c>
      <c r="BU39">
        <f>'3. Frail population'!BU25</f>
        <v>3.5244358780359281E-2</v>
      </c>
      <c r="BV39">
        <f>'3. Frail population'!BV25</f>
        <v>3.5244358780359281E-2</v>
      </c>
      <c r="BW39">
        <f>'3. Frail population'!BW25</f>
        <v>3.5244358780359281E-2</v>
      </c>
      <c r="BX39">
        <f>'3. Frail population'!BX25</f>
        <v>3.5244358780359281E-2</v>
      </c>
      <c r="BY39">
        <f>'3. Frail population'!BY25</f>
        <v>3.5244358780359281E-2</v>
      </c>
      <c r="BZ39">
        <f>'3. Frail population'!BZ25</f>
        <v>0.10916871872487391</v>
      </c>
      <c r="CA39">
        <f>'3. Frail population'!CA25</f>
        <v>0.10916871872487391</v>
      </c>
      <c r="CB39">
        <f>'3. Frail population'!CB25</f>
        <v>0.10916871872487391</v>
      </c>
      <c r="CC39">
        <f>'3. Frail population'!CC25</f>
        <v>0.10916871872487391</v>
      </c>
      <c r="CD39">
        <f>'3. Frail population'!CD25</f>
        <v>0.10916871872487391</v>
      </c>
      <c r="CE39">
        <f>'3. Frail population'!CE25</f>
        <v>0.10916871872487391</v>
      </c>
      <c r="CF39">
        <f>'3. Frail population'!CF25</f>
        <v>0.10916871872487391</v>
      </c>
      <c r="CG39">
        <f>'3. Frail population'!CG25</f>
        <v>0.10916871872487391</v>
      </c>
      <c r="CH39">
        <f>'3. Frail population'!CH25</f>
        <v>0.10916871872487391</v>
      </c>
      <c r="CI39">
        <f>'3. Frail population'!CI25</f>
        <v>0.10916871872487391</v>
      </c>
      <c r="CJ39">
        <f>'3. Frail population'!CJ25</f>
        <v>0.25222712297347016</v>
      </c>
      <c r="CK39">
        <f>'3. Frail population'!CK25</f>
        <v>0.25222712297347016</v>
      </c>
      <c r="CL39">
        <f>'3. Frail population'!CL25</f>
        <v>0.25222712297347016</v>
      </c>
      <c r="CM39">
        <f>'3. Frail population'!CM25</f>
        <v>0.25222712297347016</v>
      </c>
      <c r="CN39">
        <f>'3. Frail population'!CN25</f>
        <v>0.25222712297347016</v>
      </c>
      <c r="CO39">
        <f>'3. Frail population'!CO25</f>
        <v>0.25222712297347016</v>
      </c>
      <c r="CP39">
        <f>'3. Frail population'!CP25</f>
        <v>0.25222712297347016</v>
      </c>
      <c r="CQ39">
        <f>'3. Frail population'!CQ25</f>
        <v>0.25222712297347016</v>
      </c>
      <c r="CR39">
        <f>'3. Frail population'!CR25</f>
        <v>0.25222712297347016</v>
      </c>
      <c r="CS39">
        <f>'3. Frail population'!CS25</f>
        <v>0.25222712297347016</v>
      </c>
      <c r="CT39">
        <f>'3. Frail population'!CT25</f>
        <v>0.25222712297347016</v>
      </c>
      <c r="CU39">
        <f>'3. Frail population'!CU25</f>
        <v>0.25222712297347016</v>
      </c>
      <c r="CV39">
        <f>'3. Frail population'!CV25</f>
        <v>0.25222712297347016</v>
      </c>
      <c r="CW39">
        <f>'3. Frail population'!CW25</f>
        <v>0.25222712297347016</v>
      </c>
      <c r="CX39">
        <f>'3. Frail population'!CX25</f>
        <v>0.25222712297347016</v>
      </c>
      <c r="CY39">
        <f>'3. Frail population'!CY25</f>
        <v>0.25222712297347016</v>
      </c>
    </row>
    <row r="40" spans="1:103" x14ac:dyDescent="0.45">
      <c r="A40" t="str">
        <f>'3. Frail population'!A26</f>
        <v>Frail Population.initial frailty prevalence[Malay, male, age]</v>
      </c>
      <c r="B40">
        <f>'3. Frail population'!B26</f>
        <v>0</v>
      </c>
      <c r="C40">
        <f>'3. Frail population'!C26</f>
        <v>0</v>
      </c>
      <c r="D40">
        <f>'3. Frail population'!D26</f>
        <v>0</v>
      </c>
      <c r="E40">
        <f>'3. Frail population'!E26</f>
        <v>0</v>
      </c>
      <c r="F40">
        <f>'3. Frail population'!F26</f>
        <v>0</v>
      </c>
      <c r="G40">
        <f>'3. Frail population'!G26</f>
        <v>0</v>
      </c>
      <c r="H40">
        <f>'3. Frail population'!H26</f>
        <v>0</v>
      </c>
      <c r="I40">
        <f>'3. Frail population'!I26</f>
        <v>0</v>
      </c>
      <c r="J40">
        <f>'3. Frail population'!J26</f>
        <v>0</v>
      </c>
      <c r="K40">
        <f>'3. Frail population'!K26</f>
        <v>0</v>
      </c>
      <c r="L40">
        <f>'3. Frail population'!L26</f>
        <v>0</v>
      </c>
      <c r="M40">
        <f>'3. Frail population'!M26</f>
        <v>0</v>
      </c>
      <c r="N40">
        <f>'3. Frail population'!N26</f>
        <v>0</v>
      </c>
      <c r="O40">
        <f>'3. Frail population'!O26</f>
        <v>0</v>
      </c>
      <c r="P40">
        <f>'3. Frail population'!P26</f>
        <v>0</v>
      </c>
      <c r="Q40">
        <f>'3. Frail population'!Q26</f>
        <v>0</v>
      </c>
      <c r="R40">
        <f>'3. Frail population'!R26</f>
        <v>0</v>
      </c>
      <c r="S40">
        <f>'3. Frail population'!S26</f>
        <v>0</v>
      </c>
      <c r="T40">
        <f>'3. Frail population'!T26</f>
        <v>0</v>
      </c>
      <c r="U40">
        <f>'3. Frail population'!U26</f>
        <v>0</v>
      </c>
      <c r="V40">
        <f>'3. Frail population'!V26</f>
        <v>0</v>
      </c>
      <c r="W40">
        <f>'3. Frail population'!W26</f>
        <v>0</v>
      </c>
      <c r="X40">
        <f>'3. Frail population'!X26</f>
        <v>0</v>
      </c>
      <c r="Y40">
        <f>'3. Frail population'!Y26</f>
        <v>0</v>
      </c>
      <c r="Z40">
        <f>'3. Frail population'!Z26</f>
        <v>0</v>
      </c>
      <c r="AA40">
        <f>'3. Frail population'!AA26</f>
        <v>0</v>
      </c>
      <c r="AB40">
        <f>'3. Frail population'!AB26</f>
        <v>0</v>
      </c>
      <c r="AC40">
        <f>'3. Frail population'!AC26</f>
        <v>0</v>
      </c>
      <c r="AD40">
        <f>'3. Frail population'!AD26</f>
        <v>0</v>
      </c>
      <c r="AE40">
        <f>'3. Frail population'!AE26</f>
        <v>0</v>
      </c>
      <c r="AF40">
        <f>'3. Frail population'!AF26</f>
        <v>0</v>
      </c>
      <c r="AG40">
        <f>'3. Frail population'!AG26</f>
        <v>0</v>
      </c>
      <c r="AH40">
        <f>'3. Frail population'!AH26</f>
        <v>0</v>
      </c>
      <c r="AI40">
        <f>'3. Frail population'!AI26</f>
        <v>0</v>
      </c>
      <c r="AJ40">
        <f>'3. Frail population'!AJ26</f>
        <v>0</v>
      </c>
      <c r="AK40">
        <f>'3. Frail population'!AK26</f>
        <v>0</v>
      </c>
      <c r="AL40">
        <f>'3. Frail population'!AL26</f>
        <v>0</v>
      </c>
      <c r="AM40">
        <f>'3. Frail population'!AM26</f>
        <v>0</v>
      </c>
      <c r="AN40">
        <f>'3. Frail population'!AN26</f>
        <v>0</v>
      </c>
      <c r="AO40">
        <f>'3. Frail population'!AO26</f>
        <v>0</v>
      </c>
      <c r="AP40">
        <f>'3. Frail population'!AP26</f>
        <v>0</v>
      </c>
      <c r="AQ40">
        <f>'3. Frail population'!AQ26</f>
        <v>0</v>
      </c>
      <c r="AR40">
        <f>'3. Frail population'!AR26</f>
        <v>0</v>
      </c>
      <c r="AS40">
        <f>'3. Frail population'!AS26</f>
        <v>0</v>
      </c>
      <c r="AT40">
        <f>'3. Frail population'!AT26</f>
        <v>0</v>
      </c>
      <c r="AU40">
        <f>'3. Frail population'!AU26</f>
        <v>0</v>
      </c>
      <c r="AV40">
        <f>'3. Frail population'!AV26</f>
        <v>0</v>
      </c>
      <c r="AW40">
        <f>'3. Frail population'!AW26</f>
        <v>0</v>
      </c>
      <c r="AX40">
        <f>'3. Frail population'!AX26</f>
        <v>0</v>
      </c>
      <c r="AY40">
        <f>'3. Frail population'!AY26</f>
        <v>0</v>
      </c>
      <c r="AZ40">
        <f>'3. Frail population'!AZ26</f>
        <v>0</v>
      </c>
      <c r="BA40">
        <f>'3. Frail population'!BA26</f>
        <v>3.7738621961182243E-3</v>
      </c>
      <c r="BB40">
        <f>'3. Frail population'!BB26</f>
        <v>7.5477243922364486E-3</v>
      </c>
      <c r="BC40">
        <f>'3. Frail population'!BC26</f>
        <v>1.1321586588354672E-2</v>
      </c>
      <c r="BD40">
        <f>'3. Frail population'!BD26</f>
        <v>1.5095448784472897E-2</v>
      </c>
      <c r="BE40">
        <f>'3. Frail population'!BE26</f>
        <v>1.8869310980591122E-2</v>
      </c>
      <c r="BF40">
        <f>'3. Frail population'!BF26</f>
        <v>2.2643173176709344E-2</v>
      </c>
      <c r="BG40">
        <f>'3. Frail population'!BG26</f>
        <v>2.6417035372827569E-2</v>
      </c>
      <c r="BH40">
        <f>'3. Frail population'!BH26</f>
        <v>3.0190897568945795E-2</v>
      </c>
      <c r="BI40">
        <f>'3. Frail population'!BI26</f>
        <v>3.3964759765064016E-2</v>
      </c>
      <c r="BJ40">
        <f>'3. Frail population'!BJ26</f>
        <v>3.7738621961182245E-2</v>
      </c>
      <c r="BK40">
        <f>'3. Frail population'!BK26</f>
        <v>4.1512484157300467E-2</v>
      </c>
      <c r="BL40">
        <f>'3. Frail population'!BL26</f>
        <v>4.1512484157300467E-2</v>
      </c>
      <c r="BM40">
        <f>'3. Frail population'!BM26</f>
        <v>4.1512484157300467E-2</v>
      </c>
      <c r="BN40">
        <f>'3. Frail population'!BN26</f>
        <v>4.1512484157300467E-2</v>
      </c>
      <c r="BO40">
        <f>'3. Frail population'!BO26</f>
        <v>4.1512484157300467E-2</v>
      </c>
      <c r="BP40">
        <f>'3. Frail population'!BP26</f>
        <v>4.1512484157300467E-2</v>
      </c>
      <c r="BQ40">
        <f>'3. Frail population'!BQ26</f>
        <v>4.1512484157300467E-2</v>
      </c>
      <c r="BR40">
        <f>'3. Frail population'!BR26</f>
        <v>4.1512484157300467E-2</v>
      </c>
      <c r="BS40">
        <f>'3. Frail population'!BS26</f>
        <v>4.1512484157300467E-2</v>
      </c>
      <c r="BT40">
        <f>'3. Frail population'!BT26</f>
        <v>4.1512484157300467E-2</v>
      </c>
      <c r="BU40">
        <f>'3. Frail population'!BU26</f>
        <v>4.1512484157300467E-2</v>
      </c>
      <c r="BV40">
        <f>'3. Frail population'!BV26</f>
        <v>4.1512484157300467E-2</v>
      </c>
      <c r="BW40">
        <f>'3. Frail population'!BW26</f>
        <v>4.1512484157300467E-2</v>
      </c>
      <c r="BX40">
        <f>'3. Frail population'!BX26</f>
        <v>4.1512484157300467E-2</v>
      </c>
      <c r="BY40">
        <f>'3. Frail population'!BY26</f>
        <v>4.1512484157300467E-2</v>
      </c>
      <c r="BZ40">
        <f>'3. Frail population'!BZ26</f>
        <v>0.1247479770864766</v>
      </c>
      <c r="CA40">
        <f>'3. Frail population'!CA26</f>
        <v>0.1247479770864766</v>
      </c>
      <c r="CB40">
        <f>'3. Frail population'!CB26</f>
        <v>0.1247479770864766</v>
      </c>
      <c r="CC40">
        <f>'3. Frail population'!CC26</f>
        <v>0.1247479770864766</v>
      </c>
      <c r="CD40">
        <f>'3. Frail population'!CD26</f>
        <v>0.1247479770864766</v>
      </c>
      <c r="CE40">
        <f>'3. Frail population'!CE26</f>
        <v>0.1247479770864766</v>
      </c>
      <c r="CF40">
        <f>'3. Frail population'!CF26</f>
        <v>0.1247479770864766</v>
      </c>
      <c r="CG40">
        <f>'3. Frail population'!CG26</f>
        <v>0.1247479770864766</v>
      </c>
      <c r="CH40">
        <f>'3. Frail population'!CH26</f>
        <v>0.1247479770864766</v>
      </c>
      <c r="CI40">
        <f>'3. Frail population'!CI26</f>
        <v>0.1247479770864766</v>
      </c>
      <c r="CJ40">
        <f>'3. Frail population'!CJ26</f>
        <v>0.27895342173984355</v>
      </c>
      <c r="CK40">
        <f>'3. Frail population'!CK26</f>
        <v>0.27895342173984355</v>
      </c>
      <c r="CL40">
        <f>'3. Frail population'!CL26</f>
        <v>0.27895342173984355</v>
      </c>
      <c r="CM40">
        <f>'3. Frail population'!CM26</f>
        <v>0.27895342173984355</v>
      </c>
      <c r="CN40">
        <f>'3. Frail population'!CN26</f>
        <v>0.27895342173984355</v>
      </c>
      <c r="CO40">
        <f>'3. Frail population'!CO26</f>
        <v>0.27895342173984355</v>
      </c>
      <c r="CP40">
        <f>'3. Frail population'!CP26</f>
        <v>0.27895342173984355</v>
      </c>
      <c r="CQ40">
        <f>'3. Frail population'!CQ26</f>
        <v>0.27895342173984355</v>
      </c>
      <c r="CR40">
        <f>'3. Frail population'!CR26</f>
        <v>0.27895342173984355</v>
      </c>
      <c r="CS40">
        <f>'3. Frail population'!CS26</f>
        <v>0.27895342173984355</v>
      </c>
      <c r="CT40">
        <f>'3. Frail population'!CT26</f>
        <v>0.27895342173984355</v>
      </c>
      <c r="CU40">
        <f>'3. Frail population'!CU26</f>
        <v>0.27895342173984355</v>
      </c>
      <c r="CV40">
        <f>'3. Frail population'!CV26</f>
        <v>0.27895342173984355</v>
      </c>
      <c r="CW40">
        <f>'3. Frail population'!CW26</f>
        <v>0.27895342173984355</v>
      </c>
      <c r="CX40">
        <f>'3. Frail population'!CX26</f>
        <v>0.27895342173984355</v>
      </c>
      <c r="CY40">
        <f>'3. Frail population'!CY26</f>
        <v>0.27895342173984355</v>
      </c>
    </row>
    <row r="41" spans="1:103" x14ac:dyDescent="0.45">
      <c r="A41" t="str">
        <f>'3. Frail population'!A27</f>
        <v>Frail Population.initial frailty prevalence[Malay, female, age]</v>
      </c>
      <c r="B41">
        <f>'3. Frail population'!B27</f>
        <v>0</v>
      </c>
      <c r="C41">
        <f>'3. Frail population'!C27</f>
        <v>0</v>
      </c>
      <c r="D41">
        <f>'3. Frail population'!D27</f>
        <v>0</v>
      </c>
      <c r="E41">
        <f>'3. Frail population'!E27</f>
        <v>0</v>
      </c>
      <c r="F41">
        <f>'3. Frail population'!F27</f>
        <v>0</v>
      </c>
      <c r="G41">
        <f>'3. Frail population'!G27</f>
        <v>0</v>
      </c>
      <c r="H41">
        <f>'3. Frail population'!H27</f>
        <v>0</v>
      </c>
      <c r="I41">
        <f>'3. Frail population'!I27</f>
        <v>0</v>
      </c>
      <c r="J41">
        <f>'3. Frail population'!J27</f>
        <v>0</v>
      </c>
      <c r="K41">
        <f>'3. Frail population'!K27</f>
        <v>0</v>
      </c>
      <c r="L41">
        <f>'3. Frail population'!L27</f>
        <v>0</v>
      </c>
      <c r="M41">
        <f>'3. Frail population'!M27</f>
        <v>0</v>
      </c>
      <c r="N41">
        <f>'3. Frail population'!N27</f>
        <v>0</v>
      </c>
      <c r="O41">
        <f>'3. Frail population'!O27</f>
        <v>0</v>
      </c>
      <c r="P41">
        <f>'3. Frail population'!P27</f>
        <v>0</v>
      </c>
      <c r="Q41">
        <f>'3. Frail population'!Q27</f>
        <v>0</v>
      </c>
      <c r="R41">
        <f>'3. Frail population'!R27</f>
        <v>0</v>
      </c>
      <c r="S41">
        <f>'3. Frail population'!S27</f>
        <v>0</v>
      </c>
      <c r="T41">
        <f>'3. Frail population'!T27</f>
        <v>0</v>
      </c>
      <c r="U41">
        <f>'3. Frail population'!U27</f>
        <v>0</v>
      </c>
      <c r="V41">
        <f>'3. Frail population'!V27</f>
        <v>0</v>
      </c>
      <c r="W41">
        <f>'3. Frail population'!W27</f>
        <v>0</v>
      </c>
      <c r="X41">
        <f>'3. Frail population'!X27</f>
        <v>0</v>
      </c>
      <c r="Y41">
        <f>'3. Frail population'!Y27</f>
        <v>0</v>
      </c>
      <c r="Z41">
        <f>'3. Frail population'!Z27</f>
        <v>0</v>
      </c>
      <c r="AA41">
        <f>'3. Frail population'!AA27</f>
        <v>0</v>
      </c>
      <c r="AB41">
        <f>'3. Frail population'!AB27</f>
        <v>0</v>
      </c>
      <c r="AC41">
        <f>'3. Frail population'!AC27</f>
        <v>0</v>
      </c>
      <c r="AD41">
        <f>'3. Frail population'!AD27</f>
        <v>0</v>
      </c>
      <c r="AE41">
        <f>'3. Frail population'!AE27</f>
        <v>0</v>
      </c>
      <c r="AF41">
        <f>'3. Frail population'!AF27</f>
        <v>0</v>
      </c>
      <c r="AG41">
        <f>'3. Frail population'!AG27</f>
        <v>0</v>
      </c>
      <c r="AH41">
        <f>'3. Frail population'!AH27</f>
        <v>0</v>
      </c>
      <c r="AI41">
        <f>'3. Frail population'!AI27</f>
        <v>0</v>
      </c>
      <c r="AJ41">
        <f>'3. Frail population'!AJ27</f>
        <v>0</v>
      </c>
      <c r="AK41">
        <f>'3. Frail population'!AK27</f>
        <v>0</v>
      </c>
      <c r="AL41">
        <f>'3. Frail population'!AL27</f>
        <v>0</v>
      </c>
      <c r="AM41">
        <f>'3. Frail population'!AM27</f>
        <v>0</v>
      </c>
      <c r="AN41">
        <f>'3. Frail population'!AN27</f>
        <v>0</v>
      </c>
      <c r="AO41">
        <f>'3. Frail population'!AO27</f>
        <v>0</v>
      </c>
      <c r="AP41">
        <f>'3. Frail population'!AP27</f>
        <v>0</v>
      </c>
      <c r="AQ41">
        <f>'3. Frail population'!AQ27</f>
        <v>0</v>
      </c>
      <c r="AR41">
        <f>'3. Frail population'!AR27</f>
        <v>0</v>
      </c>
      <c r="AS41">
        <f>'3. Frail population'!AS27</f>
        <v>0</v>
      </c>
      <c r="AT41">
        <f>'3. Frail population'!AT27</f>
        <v>0</v>
      </c>
      <c r="AU41">
        <f>'3. Frail population'!AU27</f>
        <v>0</v>
      </c>
      <c r="AV41">
        <f>'3. Frail population'!AV27</f>
        <v>0</v>
      </c>
      <c r="AW41">
        <f>'3. Frail population'!AW27</f>
        <v>0</v>
      </c>
      <c r="AX41">
        <f>'3. Frail population'!AX27</f>
        <v>0</v>
      </c>
      <c r="AY41">
        <f>'3. Frail population'!AY27</f>
        <v>0</v>
      </c>
      <c r="AZ41">
        <f>'3. Frail population'!AZ27</f>
        <v>0</v>
      </c>
      <c r="BA41">
        <f>'3. Frail population'!BA27</f>
        <v>3.8938596636485913E-3</v>
      </c>
      <c r="BB41">
        <f>'3. Frail population'!BB27</f>
        <v>7.7877193272971827E-3</v>
      </c>
      <c r="BC41">
        <f>'3. Frail population'!BC27</f>
        <v>1.1681578990945775E-2</v>
      </c>
      <c r="BD41">
        <f>'3. Frail population'!BD27</f>
        <v>1.5575438654594365E-2</v>
      </c>
      <c r="BE41">
        <f>'3. Frail population'!BE27</f>
        <v>1.9469298318242956E-2</v>
      </c>
      <c r="BF41">
        <f>'3. Frail population'!BF27</f>
        <v>2.336315798189155E-2</v>
      </c>
      <c r="BG41">
        <f>'3. Frail population'!BG27</f>
        <v>2.725701764554014E-2</v>
      </c>
      <c r="BH41">
        <f>'3. Frail population'!BH27</f>
        <v>3.1150877309188731E-2</v>
      </c>
      <c r="BI41">
        <f>'3. Frail population'!BI27</f>
        <v>3.5044736972837325E-2</v>
      </c>
      <c r="BJ41">
        <f>'3. Frail population'!BJ27</f>
        <v>3.8938596636485912E-2</v>
      </c>
      <c r="BK41">
        <f>'3. Frail population'!BK27</f>
        <v>4.2832456300134505E-2</v>
      </c>
      <c r="BL41">
        <f>'3. Frail population'!BL27</f>
        <v>4.2832456300134505E-2</v>
      </c>
      <c r="BM41">
        <f>'3. Frail population'!BM27</f>
        <v>4.2832456300134505E-2</v>
      </c>
      <c r="BN41">
        <f>'3. Frail population'!BN27</f>
        <v>4.2832456300134505E-2</v>
      </c>
      <c r="BO41">
        <f>'3. Frail population'!BO27</f>
        <v>4.2832456300134505E-2</v>
      </c>
      <c r="BP41">
        <f>'3. Frail population'!BP27</f>
        <v>4.2832456300134505E-2</v>
      </c>
      <c r="BQ41">
        <f>'3. Frail population'!BQ27</f>
        <v>4.2832456300134505E-2</v>
      </c>
      <c r="BR41">
        <f>'3. Frail population'!BR27</f>
        <v>4.2832456300134505E-2</v>
      </c>
      <c r="BS41">
        <f>'3. Frail population'!BS27</f>
        <v>4.2832456300134505E-2</v>
      </c>
      <c r="BT41">
        <f>'3. Frail population'!BT27</f>
        <v>4.2832456300134505E-2</v>
      </c>
      <c r="BU41">
        <f>'3. Frail population'!BU27</f>
        <v>4.2832456300134505E-2</v>
      </c>
      <c r="BV41">
        <f>'3. Frail population'!BV27</f>
        <v>4.2832456300134505E-2</v>
      </c>
      <c r="BW41">
        <f>'3. Frail population'!BW27</f>
        <v>4.2832456300134505E-2</v>
      </c>
      <c r="BX41">
        <f>'3. Frail population'!BX27</f>
        <v>4.2832456300134505E-2</v>
      </c>
      <c r="BY41">
        <f>'3. Frail population'!BY27</f>
        <v>4.2832456300134505E-2</v>
      </c>
      <c r="BZ41">
        <f>'3. Frail population'!BZ27</f>
        <v>0.12271762303820061</v>
      </c>
      <c r="CA41">
        <f>'3. Frail population'!CA27</f>
        <v>0.12271762303820061</v>
      </c>
      <c r="CB41">
        <f>'3. Frail population'!CB27</f>
        <v>0.12271762303820061</v>
      </c>
      <c r="CC41">
        <f>'3. Frail population'!CC27</f>
        <v>0.12271762303820061</v>
      </c>
      <c r="CD41">
        <f>'3. Frail population'!CD27</f>
        <v>0.12271762303820061</v>
      </c>
      <c r="CE41">
        <f>'3. Frail population'!CE27</f>
        <v>0.12271762303820061</v>
      </c>
      <c r="CF41">
        <f>'3. Frail population'!CF27</f>
        <v>0.12271762303820061</v>
      </c>
      <c r="CG41">
        <f>'3. Frail population'!CG27</f>
        <v>0.12271762303820061</v>
      </c>
      <c r="CH41">
        <f>'3. Frail population'!CH27</f>
        <v>0.12271762303820061</v>
      </c>
      <c r="CI41">
        <f>'3. Frail population'!CI27</f>
        <v>0.12271762303820061</v>
      </c>
      <c r="CJ41">
        <f>'3. Frail population'!CJ27</f>
        <v>0.26823530786895977</v>
      </c>
      <c r="CK41">
        <f>'3. Frail population'!CK27</f>
        <v>0.26823530786895977</v>
      </c>
      <c r="CL41">
        <f>'3. Frail population'!CL27</f>
        <v>0.26823530786895977</v>
      </c>
      <c r="CM41">
        <f>'3. Frail population'!CM27</f>
        <v>0.26823530786895977</v>
      </c>
      <c r="CN41">
        <f>'3. Frail population'!CN27</f>
        <v>0.26823530786895977</v>
      </c>
      <c r="CO41">
        <f>'3. Frail population'!CO27</f>
        <v>0.26823530786895977</v>
      </c>
      <c r="CP41">
        <f>'3. Frail population'!CP27</f>
        <v>0.26823530786895977</v>
      </c>
      <c r="CQ41">
        <f>'3. Frail population'!CQ27</f>
        <v>0.26823530786895977</v>
      </c>
      <c r="CR41">
        <f>'3. Frail population'!CR27</f>
        <v>0.26823530786895977</v>
      </c>
      <c r="CS41">
        <f>'3. Frail population'!CS27</f>
        <v>0.26823530786895977</v>
      </c>
      <c r="CT41">
        <f>'3. Frail population'!CT27</f>
        <v>0.26823530786895977</v>
      </c>
      <c r="CU41">
        <f>'3. Frail population'!CU27</f>
        <v>0.26823530786895977</v>
      </c>
      <c r="CV41">
        <f>'3. Frail population'!CV27</f>
        <v>0.26823530786895977</v>
      </c>
      <c r="CW41">
        <f>'3. Frail population'!CW27</f>
        <v>0.26823530786895977</v>
      </c>
      <c r="CX41">
        <f>'3. Frail population'!CX27</f>
        <v>0.26823530786895977</v>
      </c>
      <c r="CY41">
        <f>'3. Frail population'!CY27</f>
        <v>0.26823530786895977</v>
      </c>
    </row>
    <row r="42" spans="1:103" x14ac:dyDescent="0.45">
      <c r="A42" t="str">
        <f>'3. Frail population'!A28</f>
        <v>Frail Population.initial frailty prevalence[Indian, male, age]</v>
      </c>
      <c r="B42">
        <f>'3. Frail population'!B28</f>
        <v>0</v>
      </c>
      <c r="C42">
        <f>'3. Frail population'!C28</f>
        <v>0</v>
      </c>
      <c r="D42">
        <f>'3. Frail population'!D28</f>
        <v>0</v>
      </c>
      <c r="E42">
        <f>'3. Frail population'!E28</f>
        <v>0</v>
      </c>
      <c r="F42">
        <f>'3. Frail population'!F28</f>
        <v>0</v>
      </c>
      <c r="G42">
        <f>'3. Frail population'!G28</f>
        <v>0</v>
      </c>
      <c r="H42">
        <f>'3. Frail population'!H28</f>
        <v>0</v>
      </c>
      <c r="I42">
        <f>'3. Frail population'!I28</f>
        <v>0</v>
      </c>
      <c r="J42">
        <f>'3. Frail population'!J28</f>
        <v>0</v>
      </c>
      <c r="K42">
        <f>'3. Frail population'!K28</f>
        <v>0</v>
      </c>
      <c r="L42">
        <f>'3. Frail population'!L28</f>
        <v>0</v>
      </c>
      <c r="M42">
        <f>'3. Frail population'!M28</f>
        <v>0</v>
      </c>
      <c r="N42">
        <f>'3. Frail population'!N28</f>
        <v>0</v>
      </c>
      <c r="O42">
        <f>'3. Frail population'!O28</f>
        <v>0</v>
      </c>
      <c r="P42">
        <f>'3. Frail population'!P28</f>
        <v>0</v>
      </c>
      <c r="Q42">
        <f>'3. Frail population'!Q28</f>
        <v>0</v>
      </c>
      <c r="R42">
        <f>'3. Frail population'!R28</f>
        <v>0</v>
      </c>
      <c r="S42">
        <f>'3. Frail population'!S28</f>
        <v>0</v>
      </c>
      <c r="T42">
        <f>'3. Frail population'!T28</f>
        <v>0</v>
      </c>
      <c r="U42">
        <f>'3. Frail population'!U28</f>
        <v>0</v>
      </c>
      <c r="V42">
        <f>'3. Frail population'!V28</f>
        <v>0</v>
      </c>
      <c r="W42">
        <f>'3. Frail population'!W28</f>
        <v>0</v>
      </c>
      <c r="X42">
        <f>'3. Frail population'!X28</f>
        <v>0</v>
      </c>
      <c r="Y42">
        <f>'3. Frail population'!Y28</f>
        <v>0</v>
      </c>
      <c r="Z42">
        <f>'3. Frail population'!Z28</f>
        <v>0</v>
      </c>
      <c r="AA42">
        <f>'3. Frail population'!AA28</f>
        <v>0</v>
      </c>
      <c r="AB42">
        <f>'3. Frail population'!AB28</f>
        <v>0</v>
      </c>
      <c r="AC42">
        <f>'3. Frail population'!AC28</f>
        <v>0</v>
      </c>
      <c r="AD42">
        <f>'3. Frail population'!AD28</f>
        <v>0</v>
      </c>
      <c r="AE42">
        <f>'3. Frail population'!AE28</f>
        <v>0</v>
      </c>
      <c r="AF42">
        <f>'3. Frail population'!AF28</f>
        <v>0</v>
      </c>
      <c r="AG42">
        <f>'3. Frail population'!AG28</f>
        <v>0</v>
      </c>
      <c r="AH42">
        <f>'3. Frail population'!AH28</f>
        <v>0</v>
      </c>
      <c r="AI42">
        <f>'3. Frail population'!AI28</f>
        <v>0</v>
      </c>
      <c r="AJ42">
        <f>'3. Frail population'!AJ28</f>
        <v>0</v>
      </c>
      <c r="AK42">
        <f>'3. Frail population'!AK28</f>
        <v>0</v>
      </c>
      <c r="AL42">
        <f>'3. Frail population'!AL28</f>
        <v>0</v>
      </c>
      <c r="AM42">
        <f>'3. Frail population'!AM28</f>
        <v>0</v>
      </c>
      <c r="AN42">
        <f>'3. Frail population'!AN28</f>
        <v>0</v>
      </c>
      <c r="AO42">
        <f>'3. Frail population'!AO28</f>
        <v>0</v>
      </c>
      <c r="AP42">
        <f>'3. Frail population'!AP28</f>
        <v>0</v>
      </c>
      <c r="AQ42">
        <f>'3. Frail population'!AQ28</f>
        <v>0</v>
      </c>
      <c r="AR42">
        <f>'3. Frail population'!AR28</f>
        <v>0</v>
      </c>
      <c r="AS42">
        <f>'3. Frail population'!AS28</f>
        <v>0</v>
      </c>
      <c r="AT42">
        <f>'3. Frail population'!AT28</f>
        <v>0</v>
      </c>
      <c r="AU42">
        <f>'3. Frail population'!AU28</f>
        <v>0</v>
      </c>
      <c r="AV42">
        <f>'3. Frail population'!AV28</f>
        <v>0</v>
      </c>
      <c r="AW42">
        <f>'3. Frail population'!AW28</f>
        <v>0</v>
      </c>
      <c r="AX42">
        <f>'3. Frail population'!AX28</f>
        <v>0</v>
      </c>
      <c r="AY42">
        <f>'3. Frail population'!AY28</f>
        <v>0</v>
      </c>
      <c r="AZ42">
        <f>'3. Frail population'!AZ28</f>
        <v>0</v>
      </c>
      <c r="BA42">
        <f>'3. Frail population'!BA28</f>
        <v>3.6997611724628563E-3</v>
      </c>
      <c r="BB42">
        <f>'3. Frail population'!BB28</f>
        <v>7.3995223449257125E-3</v>
      </c>
      <c r="BC42">
        <f>'3. Frail population'!BC28</f>
        <v>1.1099283517388569E-2</v>
      </c>
      <c r="BD42">
        <f>'3. Frail population'!BD28</f>
        <v>1.4799044689851425E-2</v>
      </c>
      <c r="BE42">
        <f>'3. Frail population'!BE28</f>
        <v>1.8498805862314279E-2</v>
      </c>
      <c r="BF42">
        <f>'3. Frail population'!BF28</f>
        <v>2.2198567034777138E-2</v>
      </c>
      <c r="BG42">
        <f>'3. Frail population'!BG28</f>
        <v>2.5898328207239994E-2</v>
      </c>
      <c r="BH42">
        <f>'3. Frail population'!BH28</f>
        <v>2.959808937970285E-2</v>
      </c>
      <c r="BI42">
        <f>'3. Frail population'!BI28</f>
        <v>3.3297850552165706E-2</v>
      </c>
      <c r="BJ42">
        <f>'3. Frail population'!BJ28</f>
        <v>3.6997611724628558E-2</v>
      </c>
      <c r="BK42">
        <f>'3. Frail population'!BK28</f>
        <v>4.0697372897091418E-2</v>
      </c>
      <c r="BL42">
        <f>'3. Frail population'!BL28</f>
        <v>4.0697372897091418E-2</v>
      </c>
      <c r="BM42">
        <f>'3. Frail population'!BM28</f>
        <v>4.0697372897091418E-2</v>
      </c>
      <c r="BN42">
        <f>'3. Frail population'!BN28</f>
        <v>4.0697372897091418E-2</v>
      </c>
      <c r="BO42">
        <f>'3. Frail population'!BO28</f>
        <v>4.0697372897091418E-2</v>
      </c>
      <c r="BP42">
        <f>'3. Frail population'!BP28</f>
        <v>4.0697372897091418E-2</v>
      </c>
      <c r="BQ42">
        <f>'3. Frail population'!BQ28</f>
        <v>4.0697372897091418E-2</v>
      </c>
      <c r="BR42">
        <f>'3. Frail population'!BR28</f>
        <v>4.0697372897091418E-2</v>
      </c>
      <c r="BS42">
        <f>'3. Frail population'!BS28</f>
        <v>4.0697372897091418E-2</v>
      </c>
      <c r="BT42">
        <f>'3. Frail population'!BT28</f>
        <v>4.0697372897091418E-2</v>
      </c>
      <c r="BU42">
        <f>'3. Frail population'!BU28</f>
        <v>4.0697372897091418E-2</v>
      </c>
      <c r="BV42">
        <f>'3. Frail population'!BV28</f>
        <v>4.0697372897091418E-2</v>
      </c>
      <c r="BW42">
        <f>'3. Frail population'!BW28</f>
        <v>4.0697372897091418E-2</v>
      </c>
      <c r="BX42">
        <f>'3. Frail population'!BX28</f>
        <v>4.0697372897091418E-2</v>
      </c>
      <c r="BY42">
        <f>'3. Frail population'!BY28</f>
        <v>4.0697372897091418E-2</v>
      </c>
      <c r="BZ42">
        <f>'3. Frail population'!BZ28</f>
        <v>0.12601982825736732</v>
      </c>
      <c r="CA42">
        <f>'3. Frail population'!CA28</f>
        <v>0.12601982825736732</v>
      </c>
      <c r="CB42">
        <f>'3. Frail population'!CB28</f>
        <v>0.12601982825736732</v>
      </c>
      <c r="CC42">
        <f>'3. Frail population'!CC28</f>
        <v>0.12601982825736732</v>
      </c>
      <c r="CD42">
        <f>'3. Frail population'!CD28</f>
        <v>0.12601982825736732</v>
      </c>
      <c r="CE42">
        <f>'3. Frail population'!CE28</f>
        <v>0.12601982825736732</v>
      </c>
      <c r="CF42">
        <f>'3. Frail population'!CF28</f>
        <v>0.12601982825736732</v>
      </c>
      <c r="CG42">
        <f>'3. Frail population'!CG28</f>
        <v>0.12601982825736732</v>
      </c>
      <c r="CH42">
        <f>'3. Frail population'!CH28</f>
        <v>0.12601982825736732</v>
      </c>
      <c r="CI42">
        <f>'3. Frail population'!CI28</f>
        <v>0.12601982825736732</v>
      </c>
      <c r="CJ42">
        <f>'3. Frail population'!CJ28</f>
        <v>0.28611670846711651</v>
      </c>
      <c r="CK42">
        <f>'3. Frail population'!CK28</f>
        <v>0.28611670846711651</v>
      </c>
      <c r="CL42">
        <f>'3. Frail population'!CL28</f>
        <v>0.28611670846711651</v>
      </c>
      <c r="CM42">
        <f>'3. Frail population'!CM28</f>
        <v>0.28611670846711651</v>
      </c>
      <c r="CN42">
        <f>'3. Frail population'!CN28</f>
        <v>0.28611670846711651</v>
      </c>
      <c r="CO42">
        <f>'3. Frail population'!CO28</f>
        <v>0.28611670846711651</v>
      </c>
      <c r="CP42">
        <f>'3. Frail population'!CP28</f>
        <v>0.28611670846711651</v>
      </c>
      <c r="CQ42">
        <f>'3. Frail population'!CQ28</f>
        <v>0.28611670846711651</v>
      </c>
      <c r="CR42">
        <f>'3. Frail population'!CR28</f>
        <v>0.28611670846711651</v>
      </c>
      <c r="CS42">
        <f>'3. Frail population'!CS28</f>
        <v>0.28611670846711651</v>
      </c>
      <c r="CT42">
        <f>'3. Frail population'!CT28</f>
        <v>0.28611670846711651</v>
      </c>
      <c r="CU42">
        <f>'3. Frail population'!CU28</f>
        <v>0.28611670846711651</v>
      </c>
      <c r="CV42">
        <f>'3. Frail population'!CV28</f>
        <v>0.28611670846711651</v>
      </c>
      <c r="CW42">
        <f>'3. Frail population'!CW28</f>
        <v>0.28611670846711651</v>
      </c>
      <c r="CX42">
        <f>'3. Frail population'!CX28</f>
        <v>0.28611670846711651</v>
      </c>
      <c r="CY42">
        <f>'3. Frail population'!CY28</f>
        <v>0.28611670846711651</v>
      </c>
    </row>
    <row r="43" spans="1:103" x14ac:dyDescent="0.45">
      <c r="A43" t="str">
        <f>'3. Frail population'!A29</f>
        <v>Frail Population.initial frailty prevalence[Indian, female, age]</v>
      </c>
      <c r="B43">
        <f>'3. Frail population'!B29</f>
        <v>0</v>
      </c>
      <c r="C43">
        <f>'3. Frail population'!C29</f>
        <v>0</v>
      </c>
      <c r="D43">
        <f>'3. Frail population'!D29</f>
        <v>0</v>
      </c>
      <c r="E43">
        <f>'3. Frail population'!E29</f>
        <v>0</v>
      </c>
      <c r="F43">
        <f>'3. Frail population'!F29</f>
        <v>0</v>
      </c>
      <c r="G43">
        <f>'3. Frail population'!G29</f>
        <v>0</v>
      </c>
      <c r="H43">
        <f>'3. Frail population'!H29</f>
        <v>0</v>
      </c>
      <c r="I43">
        <f>'3. Frail population'!I29</f>
        <v>0</v>
      </c>
      <c r="J43">
        <f>'3. Frail population'!J29</f>
        <v>0</v>
      </c>
      <c r="K43">
        <f>'3. Frail population'!K29</f>
        <v>0</v>
      </c>
      <c r="L43">
        <f>'3. Frail population'!L29</f>
        <v>0</v>
      </c>
      <c r="M43">
        <f>'3. Frail population'!M29</f>
        <v>0</v>
      </c>
      <c r="N43">
        <f>'3. Frail population'!N29</f>
        <v>0</v>
      </c>
      <c r="O43">
        <f>'3. Frail population'!O29</f>
        <v>0</v>
      </c>
      <c r="P43">
        <f>'3. Frail population'!P29</f>
        <v>0</v>
      </c>
      <c r="Q43">
        <f>'3. Frail population'!Q29</f>
        <v>0</v>
      </c>
      <c r="R43">
        <f>'3. Frail population'!R29</f>
        <v>0</v>
      </c>
      <c r="S43">
        <f>'3. Frail population'!S29</f>
        <v>0</v>
      </c>
      <c r="T43">
        <f>'3. Frail population'!T29</f>
        <v>0</v>
      </c>
      <c r="U43">
        <f>'3. Frail population'!U29</f>
        <v>0</v>
      </c>
      <c r="V43">
        <f>'3. Frail population'!V29</f>
        <v>0</v>
      </c>
      <c r="W43">
        <f>'3. Frail population'!W29</f>
        <v>0</v>
      </c>
      <c r="X43">
        <f>'3. Frail population'!X29</f>
        <v>0</v>
      </c>
      <c r="Y43">
        <f>'3. Frail population'!Y29</f>
        <v>0</v>
      </c>
      <c r="Z43">
        <f>'3. Frail population'!Z29</f>
        <v>0</v>
      </c>
      <c r="AA43">
        <f>'3. Frail population'!AA29</f>
        <v>0</v>
      </c>
      <c r="AB43">
        <f>'3. Frail population'!AB29</f>
        <v>0</v>
      </c>
      <c r="AC43">
        <f>'3. Frail population'!AC29</f>
        <v>0</v>
      </c>
      <c r="AD43">
        <f>'3. Frail population'!AD29</f>
        <v>0</v>
      </c>
      <c r="AE43">
        <f>'3. Frail population'!AE29</f>
        <v>0</v>
      </c>
      <c r="AF43">
        <f>'3. Frail population'!AF29</f>
        <v>0</v>
      </c>
      <c r="AG43">
        <f>'3. Frail population'!AG29</f>
        <v>0</v>
      </c>
      <c r="AH43">
        <f>'3. Frail population'!AH29</f>
        <v>0</v>
      </c>
      <c r="AI43">
        <f>'3. Frail population'!AI29</f>
        <v>0</v>
      </c>
      <c r="AJ43">
        <f>'3. Frail population'!AJ29</f>
        <v>0</v>
      </c>
      <c r="AK43">
        <f>'3. Frail population'!AK29</f>
        <v>0</v>
      </c>
      <c r="AL43">
        <f>'3. Frail population'!AL29</f>
        <v>0</v>
      </c>
      <c r="AM43">
        <f>'3. Frail population'!AM29</f>
        <v>0</v>
      </c>
      <c r="AN43">
        <f>'3. Frail population'!AN29</f>
        <v>0</v>
      </c>
      <c r="AO43">
        <f>'3. Frail population'!AO29</f>
        <v>0</v>
      </c>
      <c r="AP43">
        <f>'3. Frail population'!AP29</f>
        <v>0</v>
      </c>
      <c r="AQ43">
        <f>'3. Frail population'!AQ29</f>
        <v>0</v>
      </c>
      <c r="AR43">
        <f>'3. Frail population'!AR29</f>
        <v>0</v>
      </c>
      <c r="AS43">
        <f>'3. Frail population'!AS29</f>
        <v>0</v>
      </c>
      <c r="AT43">
        <f>'3. Frail population'!AT29</f>
        <v>0</v>
      </c>
      <c r="AU43">
        <f>'3. Frail population'!AU29</f>
        <v>0</v>
      </c>
      <c r="AV43">
        <f>'3. Frail population'!AV29</f>
        <v>0</v>
      </c>
      <c r="AW43">
        <f>'3. Frail population'!AW29</f>
        <v>0</v>
      </c>
      <c r="AX43">
        <f>'3. Frail population'!AX29</f>
        <v>0</v>
      </c>
      <c r="AY43">
        <f>'3. Frail population'!AY29</f>
        <v>0</v>
      </c>
      <c r="AZ43">
        <f>'3. Frail population'!AZ29</f>
        <v>0</v>
      </c>
      <c r="BA43">
        <f>'3. Frail population'!BA29</f>
        <v>3.8704804615981442E-3</v>
      </c>
      <c r="BB43">
        <f>'3. Frail population'!BB29</f>
        <v>7.7409609231962884E-3</v>
      </c>
      <c r="BC43">
        <f>'3. Frail population'!BC29</f>
        <v>1.1611441384794434E-2</v>
      </c>
      <c r="BD43">
        <f>'3. Frail population'!BD29</f>
        <v>1.5481921846392577E-2</v>
      </c>
      <c r="BE43">
        <f>'3. Frail population'!BE29</f>
        <v>1.9352402307990721E-2</v>
      </c>
      <c r="BF43">
        <f>'3. Frail population'!BF29</f>
        <v>2.3222882769588869E-2</v>
      </c>
      <c r="BG43">
        <f>'3. Frail population'!BG29</f>
        <v>2.7093363231187009E-2</v>
      </c>
      <c r="BH43">
        <f>'3. Frail population'!BH29</f>
        <v>3.0963843692785153E-2</v>
      </c>
      <c r="BI43">
        <f>'3. Frail population'!BI29</f>
        <v>3.4834324154383298E-2</v>
      </c>
      <c r="BJ43">
        <f>'3. Frail population'!BJ29</f>
        <v>3.8704804615981442E-2</v>
      </c>
      <c r="BK43">
        <f>'3. Frail population'!BK29</f>
        <v>4.2575285077579586E-2</v>
      </c>
      <c r="BL43">
        <f>'3. Frail population'!BL29</f>
        <v>4.2575285077579586E-2</v>
      </c>
      <c r="BM43">
        <f>'3. Frail population'!BM29</f>
        <v>4.2575285077579586E-2</v>
      </c>
      <c r="BN43">
        <f>'3. Frail population'!BN29</f>
        <v>4.2575285077579586E-2</v>
      </c>
      <c r="BO43">
        <f>'3. Frail population'!BO29</f>
        <v>4.2575285077579586E-2</v>
      </c>
      <c r="BP43">
        <f>'3. Frail population'!BP29</f>
        <v>4.2575285077579586E-2</v>
      </c>
      <c r="BQ43">
        <f>'3. Frail population'!BQ29</f>
        <v>4.2575285077579586E-2</v>
      </c>
      <c r="BR43">
        <f>'3. Frail population'!BR29</f>
        <v>4.2575285077579586E-2</v>
      </c>
      <c r="BS43">
        <f>'3. Frail population'!BS29</f>
        <v>4.2575285077579586E-2</v>
      </c>
      <c r="BT43">
        <f>'3. Frail population'!BT29</f>
        <v>4.2575285077579586E-2</v>
      </c>
      <c r="BU43">
        <f>'3. Frail population'!BU29</f>
        <v>4.2575285077579586E-2</v>
      </c>
      <c r="BV43">
        <f>'3. Frail population'!BV29</f>
        <v>4.2575285077579586E-2</v>
      </c>
      <c r="BW43">
        <f>'3. Frail population'!BW29</f>
        <v>4.2575285077579586E-2</v>
      </c>
      <c r="BX43">
        <f>'3. Frail population'!BX29</f>
        <v>4.2575285077579586E-2</v>
      </c>
      <c r="BY43">
        <f>'3. Frail population'!BY29</f>
        <v>4.2575285077579586E-2</v>
      </c>
      <c r="BZ43">
        <f>'3. Frail population'!BZ29</f>
        <v>0.12541194933617719</v>
      </c>
      <c r="CA43">
        <f>'3. Frail population'!CA29</f>
        <v>0.12541194933617719</v>
      </c>
      <c r="CB43">
        <f>'3. Frail population'!CB29</f>
        <v>0.12541194933617719</v>
      </c>
      <c r="CC43">
        <f>'3. Frail population'!CC29</f>
        <v>0.12541194933617719</v>
      </c>
      <c r="CD43">
        <f>'3. Frail population'!CD29</f>
        <v>0.12541194933617719</v>
      </c>
      <c r="CE43">
        <f>'3. Frail population'!CE29</f>
        <v>0.12541194933617719</v>
      </c>
      <c r="CF43">
        <f>'3. Frail population'!CF29</f>
        <v>0.12541194933617719</v>
      </c>
      <c r="CG43">
        <f>'3. Frail population'!CG29</f>
        <v>0.12541194933617719</v>
      </c>
      <c r="CH43">
        <f>'3. Frail population'!CH29</f>
        <v>0.12541194933617719</v>
      </c>
      <c r="CI43">
        <f>'3. Frail population'!CI29</f>
        <v>0.12541194933617719</v>
      </c>
      <c r="CJ43">
        <f>'3. Frail population'!CJ29</f>
        <v>0.27730360597846831</v>
      </c>
      <c r="CK43">
        <f>'3. Frail population'!CK29</f>
        <v>0.27730360597846831</v>
      </c>
      <c r="CL43">
        <f>'3. Frail population'!CL29</f>
        <v>0.27730360597846831</v>
      </c>
      <c r="CM43">
        <f>'3. Frail population'!CM29</f>
        <v>0.27730360597846831</v>
      </c>
      <c r="CN43">
        <f>'3. Frail population'!CN29</f>
        <v>0.27730360597846831</v>
      </c>
      <c r="CO43">
        <f>'3. Frail population'!CO29</f>
        <v>0.27730360597846831</v>
      </c>
      <c r="CP43">
        <f>'3. Frail population'!CP29</f>
        <v>0.27730360597846831</v>
      </c>
      <c r="CQ43">
        <f>'3. Frail population'!CQ29</f>
        <v>0.27730360597846831</v>
      </c>
      <c r="CR43">
        <f>'3. Frail population'!CR29</f>
        <v>0.27730360597846831</v>
      </c>
      <c r="CS43">
        <f>'3. Frail population'!CS29</f>
        <v>0.27730360597846831</v>
      </c>
      <c r="CT43">
        <f>'3. Frail population'!CT29</f>
        <v>0.27730360597846831</v>
      </c>
      <c r="CU43">
        <f>'3. Frail population'!CU29</f>
        <v>0.27730360597846831</v>
      </c>
      <c r="CV43">
        <f>'3. Frail population'!CV29</f>
        <v>0.27730360597846831</v>
      </c>
      <c r="CW43">
        <f>'3. Frail population'!CW29</f>
        <v>0.27730360597846831</v>
      </c>
      <c r="CX43">
        <f>'3. Frail population'!CX29</f>
        <v>0.27730360597846831</v>
      </c>
      <c r="CY43">
        <f>'3. Frail population'!CY29</f>
        <v>0.27730360597846831</v>
      </c>
    </row>
    <row r="44" spans="1:103" x14ac:dyDescent="0.45">
      <c r="A44" t="str">
        <f>'3. Frail population'!A30</f>
        <v>Frail Population.initial frailty prevalence[Other, male, age]</v>
      </c>
      <c r="B44">
        <f>'3. Frail population'!B30</f>
        <v>0</v>
      </c>
      <c r="C44">
        <f>'3. Frail population'!C30</f>
        <v>0</v>
      </c>
      <c r="D44">
        <f>'3. Frail population'!D30</f>
        <v>0</v>
      </c>
      <c r="E44">
        <f>'3. Frail population'!E30</f>
        <v>0</v>
      </c>
      <c r="F44">
        <f>'3. Frail population'!F30</f>
        <v>0</v>
      </c>
      <c r="G44">
        <f>'3. Frail population'!G30</f>
        <v>0</v>
      </c>
      <c r="H44">
        <f>'3. Frail population'!H30</f>
        <v>0</v>
      </c>
      <c r="I44">
        <f>'3. Frail population'!I30</f>
        <v>0</v>
      </c>
      <c r="J44">
        <f>'3. Frail population'!J30</f>
        <v>0</v>
      </c>
      <c r="K44">
        <f>'3. Frail population'!K30</f>
        <v>0</v>
      </c>
      <c r="L44">
        <f>'3. Frail population'!L30</f>
        <v>0</v>
      </c>
      <c r="M44">
        <f>'3. Frail population'!M30</f>
        <v>0</v>
      </c>
      <c r="N44">
        <f>'3. Frail population'!N30</f>
        <v>0</v>
      </c>
      <c r="O44">
        <f>'3. Frail population'!O30</f>
        <v>0</v>
      </c>
      <c r="P44">
        <f>'3. Frail population'!P30</f>
        <v>0</v>
      </c>
      <c r="Q44">
        <f>'3. Frail population'!Q30</f>
        <v>0</v>
      </c>
      <c r="R44">
        <f>'3. Frail population'!R30</f>
        <v>0</v>
      </c>
      <c r="S44">
        <f>'3. Frail population'!S30</f>
        <v>0</v>
      </c>
      <c r="T44">
        <f>'3. Frail population'!T30</f>
        <v>0</v>
      </c>
      <c r="U44">
        <f>'3. Frail population'!U30</f>
        <v>0</v>
      </c>
      <c r="V44">
        <f>'3. Frail population'!V30</f>
        <v>0</v>
      </c>
      <c r="W44">
        <f>'3. Frail population'!W30</f>
        <v>0</v>
      </c>
      <c r="X44">
        <f>'3. Frail population'!X30</f>
        <v>0</v>
      </c>
      <c r="Y44">
        <f>'3. Frail population'!Y30</f>
        <v>0</v>
      </c>
      <c r="Z44">
        <f>'3. Frail population'!Z30</f>
        <v>0</v>
      </c>
      <c r="AA44">
        <f>'3. Frail population'!AA30</f>
        <v>0</v>
      </c>
      <c r="AB44">
        <f>'3. Frail population'!AB30</f>
        <v>0</v>
      </c>
      <c r="AC44">
        <f>'3. Frail population'!AC30</f>
        <v>0</v>
      </c>
      <c r="AD44">
        <f>'3. Frail population'!AD30</f>
        <v>0</v>
      </c>
      <c r="AE44">
        <f>'3. Frail population'!AE30</f>
        <v>0</v>
      </c>
      <c r="AF44">
        <f>'3. Frail population'!AF30</f>
        <v>0</v>
      </c>
      <c r="AG44">
        <f>'3. Frail population'!AG30</f>
        <v>0</v>
      </c>
      <c r="AH44">
        <f>'3. Frail population'!AH30</f>
        <v>0</v>
      </c>
      <c r="AI44">
        <f>'3. Frail population'!AI30</f>
        <v>0</v>
      </c>
      <c r="AJ44">
        <f>'3. Frail population'!AJ30</f>
        <v>0</v>
      </c>
      <c r="AK44">
        <f>'3. Frail population'!AK30</f>
        <v>0</v>
      </c>
      <c r="AL44">
        <f>'3. Frail population'!AL30</f>
        <v>0</v>
      </c>
      <c r="AM44">
        <f>'3. Frail population'!AM30</f>
        <v>0</v>
      </c>
      <c r="AN44">
        <f>'3. Frail population'!AN30</f>
        <v>0</v>
      </c>
      <c r="AO44">
        <f>'3. Frail population'!AO30</f>
        <v>0</v>
      </c>
      <c r="AP44">
        <f>'3. Frail population'!AP30</f>
        <v>0</v>
      </c>
      <c r="AQ44">
        <f>'3. Frail population'!AQ30</f>
        <v>0</v>
      </c>
      <c r="AR44">
        <f>'3. Frail population'!AR30</f>
        <v>0</v>
      </c>
      <c r="AS44">
        <f>'3. Frail population'!AS30</f>
        <v>0</v>
      </c>
      <c r="AT44">
        <f>'3. Frail population'!AT30</f>
        <v>0</v>
      </c>
      <c r="AU44">
        <f>'3. Frail population'!AU30</f>
        <v>0</v>
      </c>
      <c r="AV44">
        <f>'3. Frail population'!AV30</f>
        <v>0</v>
      </c>
      <c r="AW44">
        <f>'3. Frail population'!AW30</f>
        <v>0</v>
      </c>
      <c r="AX44">
        <f>'3. Frail population'!AX30</f>
        <v>0</v>
      </c>
      <c r="AY44">
        <f>'3. Frail population'!AY30</f>
        <v>0</v>
      </c>
      <c r="AZ44">
        <f>'3. Frail population'!AZ30</f>
        <v>0</v>
      </c>
      <c r="BA44">
        <f>'3. Frail population'!BA30</f>
        <v>3.8587008600288086E-3</v>
      </c>
      <c r="BB44">
        <f>'3. Frail population'!BB30</f>
        <v>7.7174017200576173E-3</v>
      </c>
      <c r="BC44">
        <f>'3. Frail population'!BC30</f>
        <v>1.1576102580086426E-2</v>
      </c>
      <c r="BD44">
        <f>'3. Frail population'!BD30</f>
        <v>1.5434803440115235E-2</v>
      </c>
      <c r="BE44">
        <f>'3. Frail population'!BE30</f>
        <v>1.9293504300144041E-2</v>
      </c>
      <c r="BF44">
        <f>'3. Frail population'!BF30</f>
        <v>2.3152205160172853E-2</v>
      </c>
      <c r="BG44">
        <f>'3. Frail population'!BG30</f>
        <v>2.7010906020201661E-2</v>
      </c>
      <c r="BH44">
        <f>'3. Frail population'!BH30</f>
        <v>3.0869606880230469E-2</v>
      </c>
      <c r="BI44">
        <f>'3. Frail population'!BI30</f>
        <v>3.4728307740259277E-2</v>
      </c>
      <c r="BJ44">
        <f>'3. Frail population'!BJ30</f>
        <v>3.8587008600288082E-2</v>
      </c>
      <c r="BK44">
        <f>'3. Frail population'!BK30</f>
        <v>4.2445709460316894E-2</v>
      </c>
      <c r="BL44">
        <f>'3. Frail population'!BL30</f>
        <v>4.2445709460316894E-2</v>
      </c>
      <c r="BM44">
        <f>'3. Frail population'!BM30</f>
        <v>4.2445709460316894E-2</v>
      </c>
      <c r="BN44">
        <f>'3. Frail population'!BN30</f>
        <v>4.2445709460316894E-2</v>
      </c>
      <c r="BO44">
        <f>'3. Frail population'!BO30</f>
        <v>4.2445709460316894E-2</v>
      </c>
      <c r="BP44">
        <f>'3. Frail population'!BP30</f>
        <v>4.2445709460316894E-2</v>
      </c>
      <c r="BQ44">
        <f>'3. Frail population'!BQ30</f>
        <v>4.2445709460316894E-2</v>
      </c>
      <c r="BR44">
        <f>'3. Frail population'!BR30</f>
        <v>4.2445709460316894E-2</v>
      </c>
      <c r="BS44">
        <f>'3. Frail population'!BS30</f>
        <v>4.2445709460316894E-2</v>
      </c>
      <c r="BT44">
        <f>'3. Frail population'!BT30</f>
        <v>4.2445709460316894E-2</v>
      </c>
      <c r="BU44">
        <f>'3. Frail population'!BU30</f>
        <v>4.2445709460316894E-2</v>
      </c>
      <c r="BV44">
        <f>'3. Frail population'!BV30</f>
        <v>4.2445709460316894E-2</v>
      </c>
      <c r="BW44">
        <f>'3. Frail population'!BW30</f>
        <v>4.2445709460316894E-2</v>
      </c>
      <c r="BX44">
        <f>'3. Frail population'!BX30</f>
        <v>4.2445709460316894E-2</v>
      </c>
      <c r="BY44">
        <f>'3. Frail population'!BY30</f>
        <v>4.2445709460316894E-2</v>
      </c>
      <c r="BZ44">
        <f>'3. Frail population'!BZ30</f>
        <v>0.1395775368643126</v>
      </c>
      <c r="CA44">
        <f>'3. Frail population'!CA30</f>
        <v>0.1395775368643126</v>
      </c>
      <c r="CB44">
        <f>'3. Frail population'!CB30</f>
        <v>0.1395775368643126</v>
      </c>
      <c r="CC44">
        <f>'3. Frail population'!CC30</f>
        <v>0.1395775368643126</v>
      </c>
      <c r="CD44">
        <f>'3. Frail population'!CD30</f>
        <v>0.1395775368643126</v>
      </c>
      <c r="CE44">
        <f>'3. Frail population'!CE30</f>
        <v>0.1395775368643126</v>
      </c>
      <c r="CF44">
        <f>'3. Frail population'!CF30</f>
        <v>0.1395775368643126</v>
      </c>
      <c r="CG44">
        <f>'3. Frail population'!CG30</f>
        <v>0.1395775368643126</v>
      </c>
      <c r="CH44">
        <f>'3. Frail population'!CH30</f>
        <v>0.1395775368643126</v>
      </c>
      <c r="CI44">
        <f>'3. Frail population'!CI30</f>
        <v>0.1395775368643126</v>
      </c>
      <c r="CJ44">
        <f>'3. Frail population'!CJ30</f>
        <v>0.32372302995552837</v>
      </c>
      <c r="CK44">
        <f>'3. Frail population'!CK30</f>
        <v>0.32372302995552837</v>
      </c>
      <c r="CL44">
        <f>'3. Frail population'!CL30</f>
        <v>0.32372302995552837</v>
      </c>
      <c r="CM44">
        <f>'3. Frail population'!CM30</f>
        <v>0.32372302995552837</v>
      </c>
      <c r="CN44">
        <f>'3. Frail population'!CN30</f>
        <v>0.32372302995552837</v>
      </c>
      <c r="CO44">
        <f>'3. Frail population'!CO30</f>
        <v>0.32372302995552837</v>
      </c>
      <c r="CP44">
        <f>'3. Frail population'!CP30</f>
        <v>0.32372302995552837</v>
      </c>
      <c r="CQ44">
        <f>'3. Frail population'!CQ30</f>
        <v>0.32372302995552837</v>
      </c>
      <c r="CR44">
        <f>'3. Frail population'!CR30</f>
        <v>0.32372302995552837</v>
      </c>
      <c r="CS44">
        <f>'3. Frail population'!CS30</f>
        <v>0.32372302995552837</v>
      </c>
      <c r="CT44">
        <f>'3. Frail population'!CT30</f>
        <v>0.32372302995552837</v>
      </c>
      <c r="CU44">
        <f>'3. Frail population'!CU30</f>
        <v>0.32372302995552837</v>
      </c>
      <c r="CV44">
        <f>'3. Frail population'!CV30</f>
        <v>0.32372302995552837</v>
      </c>
      <c r="CW44">
        <f>'3. Frail population'!CW30</f>
        <v>0.32372302995552837</v>
      </c>
      <c r="CX44">
        <f>'3. Frail population'!CX30</f>
        <v>0.32372302995552837</v>
      </c>
      <c r="CY44">
        <f>'3. Frail population'!CY30</f>
        <v>0.32372302995552837</v>
      </c>
    </row>
    <row r="45" spans="1:103" x14ac:dyDescent="0.45">
      <c r="A45" t="str">
        <f>'3. Frail population'!A31</f>
        <v>Frail Population.initial frailty prevalence[Other, female, age]</v>
      </c>
      <c r="B45">
        <f>'3. Frail population'!B31</f>
        <v>0</v>
      </c>
      <c r="C45">
        <f>'3. Frail population'!C31</f>
        <v>0</v>
      </c>
      <c r="D45">
        <f>'3. Frail population'!D31</f>
        <v>0</v>
      </c>
      <c r="E45">
        <f>'3. Frail population'!E31</f>
        <v>0</v>
      </c>
      <c r="F45">
        <f>'3. Frail population'!F31</f>
        <v>0</v>
      </c>
      <c r="G45">
        <f>'3. Frail population'!G31</f>
        <v>0</v>
      </c>
      <c r="H45">
        <f>'3. Frail population'!H31</f>
        <v>0</v>
      </c>
      <c r="I45">
        <f>'3. Frail population'!I31</f>
        <v>0</v>
      </c>
      <c r="J45">
        <f>'3. Frail population'!J31</f>
        <v>0</v>
      </c>
      <c r="K45">
        <f>'3. Frail population'!K31</f>
        <v>0</v>
      </c>
      <c r="L45">
        <f>'3. Frail population'!L31</f>
        <v>0</v>
      </c>
      <c r="M45">
        <f>'3. Frail population'!M31</f>
        <v>0</v>
      </c>
      <c r="N45">
        <f>'3. Frail population'!N31</f>
        <v>0</v>
      </c>
      <c r="O45">
        <f>'3. Frail population'!O31</f>
        <v>0</v>
      </c>
      <c r="P45">
        <f>'3. Frail population'!P31</f>
        <v>0</v>
      </c>
      <c r="Q45">
        <f>'3. Frail population'!Q31</f>
        <v>0</v>
      </c>
      <c r="R45">
        <f>'3. Frail population'!R31</f>
        <v>0</v>
      </c>
      <c r="S45">
        <f>'3. Frail population'!S31</f>
        <v>0</v>
      </c>
      <c r="T45">
        <f>'3. Frail population'!T31</f>
        <v>0</v>
      </c>
      <c r="U45">
        <f>'3. Frail population'!U31</f>
        <v>0</v>
      </c>
      <c r="V45">
        <f>'3. Frail population'!V31</f>
        <v>0</v>
      </c>
      <c r="W45">
        <f>'3. Frail population'!W31</f>
        <v>0</v>
      </c>
      <c r="X45">
        <f>'3. Frail population'!X31</f>
        <v>0</v>
      </c>
      <c r="Y45">
        <f>'3. Frail population'!Y31</f>
        <v>0</v>
      </c>
      <c r="Z45">
        <f>'3. Frail population'!Z31</f>
        <v>0</v>
      </c>
      <c r="AA45">
        <f>'3. Frail population'!AA31</f>
        <v>0</v>
      </c>
      <c r="AB45">
        <f>'3. Frail population'!AB31</f>
        <v>0</v>
      </c>
      <c r="AC45">
        <f>'3. Frail population'!AC31</f>
        <v>0</v>
      </c>
      <c r="AD45">
        <f>'3. Frail population'!AD31</f>
        <v>0</v>
      </c>
      <c r="AE45">
        <f>'3. Frail population'!AE31</f>
        <v>0</v>
      </c>
      <c r="AF45">
        <f>'3. Frail population'!AF31</f>
        <v>0</v>
      </c>
      <c r="AG45">
        <f>'3. Frail population'!AG31</f>
        <v>0</v>
      </c>
      <c r="AH45">
        <f>'3. Frail population'!AH31</f>
        <v>0</v>
      </c>
      <c r="AI45">
        <f>'3. Frail population'!AI31</f>
        <v>0</v>
      </c>
      <c r="AJ45">
        <f>'3. Frail population'!AJ31</f>
        <v>0</v>
      </c>
      <c r="AK45">
        <f>'3. Frail population'!AK31</f>
        <v>0</v>
      </c>
      <c r="AL45">
        <f>'3. Frail population'!AL31</f>
        <v>0</v>
      </c>
      <c r="AM45">
        <f>'3. Frail population'!AM31</f>
        <v>0</v>
      </c>
      <c r="AN45">
        <f>'3. Frail population'!AN31</f>
        <v>0</v>
      </c>
      <c r="AO45">
        <f>'3. Frail population'!AO31</f>
        <v>0</v>
      </c>
      <c r="AP45">
        <f>'3. Frail population'!AP31</f>
        <v>0</v>
      </c>
      <c r="AQ45">
        <f>'3. Frail population'!AQ31</f>
        <v>0</v>
      </c>
      <c r="AR45">
        <f>'3. Frail population'!AR31</f>
        <v>0</v>
      </c>
      <c r="AS45">
        <f>'3. Frail population'!AS31</f>
        <v>0</v>
      </c>
      <c r="AT45">
        <f>'3. Frail population'!AT31</f>
        <v>0</v>
      </c>
      <c r="AU45">
        <f>'3. Frail population'!AU31</f>
        <v>0</v>
      </c>
      <c r="AV45">
        <f>'3. Frail population'!AV31</f>
        <v>0</v>
      </c>
      <c r="AW45">
        <f>'3. Frail population'!AW31</f>
        <v>0</v>
      </c>
      <c r="AX45">
        <f>'3. Frail population'!AX31</f>
        <v>0</v>
      </c>
      <c r="AY45">
        <f>'3. Frail population'!AY31</f>
        <v>0</v>
      </c>
      <c r="AZ45">
        <f>'3. Frail population'!AZ31</f>
        <v>0</v>
      </c>
      <c r="BA45">
        <f>'3. Frail population'!BA31</f>
        <v>4.1616247172907919E-3</v>
      </c>
      <c r="BB45">
        <f>'3. Frail population'!BB31</f>
        <v>8.3232494345815838E-3</v>
      </c>
      <c r="BC45">
        <f>'3. Frail population'!BC31</f>
        <v>1.2484874151872376E-2</v>
      </c>
      <c r="BD45">
        <f>'3. Frail population'!BD31</f>
        <v>1.6646498869163168E-2</v>
      </c>
      <c r="BE45">
        <f>'3. Frail population'!BE31</f>
        <v>2.080812358645396E-2</v>
      </c>
      <c r="BF45">
        <f>'3. Frail population'!BF31</f>
        <v>2.4969748303744752E-2</v>
      </c>
      <c r="BG45">
        <f>'3. Frail population'!BG31</f>
        <v>2.9131373021035543E-2</v>
      </c>
      <c r="BH45">
        <f>'3. Frail population'!BH31</f>
        <v>3.3292997738326335E-2</v>
      </c>
      <c r="BI45">
        <f>'3. Frail population'!BI31</f>
        <v>3.7454622455617127E-2</v>
      </c>
      <c r="BJ45">
        <f>'3. Frail population'!BJ31</f>
        <v>4.1616247172907919E-2</v>
      </c>
      <c r="BK45">
        <f>'3. Frail population'!BK31</f>
        <v>4.5777871890198711E-2</v>
      </c>
      <c r="BL45">
        <f>'3. Frail population'!BL31</f>
        <v>4.5777871890198711E-2</v>
      </c>
      <c r="BM45">
        <f>'3. Frail population'!BM31</f>
        <v>4.5777871890198711E-2</v>
      </c>
      <c r="BN45">
        <f>'3. Frail population'!BN31</f>
        <v>4.5777871890198711E-2</v>
      </c>
      <c r="BO45">
        <f>'3. Frail population'!BO31</f>
        <v>4.5777871890198711E-2</v>
      </c>
      <c r="BP45">
        <f>'3. Frail population'!BP31</f>
        <v>4.5777871890198711E-2</v>
      </c>
      <c r="BQ45">
        <f>'3. Frail population'!BQ31</f>
        <v>4.5777871890198711E-2</v>
      </c>
      <c r="BR45">
        <f>'3. Frail population'!BR31</f>
        <v>4.5777871890198711E-2</v>
      </c>
      <c r="BS45">
        <f>'3. Frail population'!BS31</f>
        <v>4.5777871890198711E-2</v>
      </c>
      <c r="BT45">
        <f>'3. Frail population'!BT31</f>
        <v>4.5777871890198711E-2</v>
      </c>
      <c r="BU45">
        <f>'3. Frail population'!BU31</f>
        <v>4.5777871890198711E-2</v>
      </c>
      <c r="BV45">
        <f>'3. Frail population'!BV31</f>
        <v>4.5777871890198711E-2</v>
      </c>
      <c r="BW45">
        <f>'3. Frail population'!BW31</f>
        <v>4.5777871890198711E-2</v>
      </c>
      <c r="BX45">
        <f>'3. Frail population'!BX31</f>
        <v>4.5777871890198711E-2</v>
      </c>
      <c r="BY45">
        <f>'3. Frail population'!BY31</f>
        <v>4.5777871890198711E-2</v>
      </c>
      <c r="BZ45">
        <f>'3. Frail population'!BZ31</f>
        <v>0.14286207675568427</v>
      </c>
      <c r="CA45">
        <f>'3. Frail population'!CA31</f>
        <v>0.14286207675568427</v>
      </c>
      <c r="CB45">
        <f>'3. Frail population'!CB31</f>
        <v>0.14286207675568427</v>
      </c>
      <c r="CC45">
        <f>'3. Frail population'!CC31</f>
        <v>0.14286207675568427</v>
      </c>
      <c r="CD45">
        <f>'3. Frail population'!CD31</f>
        <v>0.14286207675568427</v>
      </c>
      <c r="CE45">
        <f>'3. Frail population'!CE31</f>
        <v>0.14286207675568427</v>
      </c>
      <c r="CF45">
        <f>'3. Frail population'!CF31</f>
        <v>0.14286207675568427</v>
      </c>
      <c r="CG45">
        <f>'3. Frail population'!CG31</f>
        <v>0.14286207675568427</v>
      </c>
      <c r="CH45">
        <f>'3. Frail population'!CH31</f>
        <v>0.14286207675568427</v>
      </c>
      <c r="CI45">
        <f>'3. Frail population'!CI31</f>
        <v>0.14286207675568427</v>
      </c>
      <c r="CJ45">
        <f>'3. Frail population'!CJ31</f>
        <v>0.32027894051635519</v>
      </c>
      <c r="CK45">
        <f>'3. Frail population'!CK31</f>
        <v>0.32027894051635519</v>
      </c>
      <c r="CL45">
        <f>'3. Frail population'!CL31</f>
        <v>0.32027894051635519</v>
      </c>
      <c r="CM45">
        <f>'3. Frail population'!CM31</f>
        <v>0.32027894051635519</v>
      </c>
      <c r="CN45">
        <f>'3. Frail population'!CN31</f>
        <v>0.32027894051635519</v>
      </c>
      <c r="CO45">
        <f>'3. Frail population'!CO31</f>
        <v>0.32027894051635519</v>
      </c>
      <c r="CP45">
        <f>'3. Frail population'!CP31</f>
        <v>0.32027894051635519</v>
      </c>
      <c r="CQ45">
        <f>'3. Frail population'!CQ31</f>
        <v>0.32027894051635519</v>
      </c>
      <c r="CR45">
        <f>'3. Frail population'!CR31</f>
        <v>0.32027894051635519</v>
      </c>
      <c r="CS45">
        <f>'3. Frail population'!CS31</f>
        <v>0.32027894051635519</v>
      </c>
      <c r="CT45">
        <f>'3. Frail population'!CT31</f>
        <v>0.32027894051635519</v>
      </c>
      <c r="CU45">
        <f>'3. Frail population'!CU31</f>
        <v>0.32027894051635519</v>
      </c>
      <c r="CV45">
        <f>'3. Frail population'!CV31</f>
        <v>0.32027894051635519</v>
      </c>
      <c r="CW45">
        <f>'3. Frail population'!CW31</f>
        <v>0.32027894051635519</v>
      </c>
      <c r="CX45">
        <f>'3. Frail population'!CX31</f>
        <v>0.32027894051635519</v>
      </c>
      <c r="CY45">
        <f>'3. Frail population'!CY31</f>
        <v>0.32027894051635519</v>
      </c>
    </row>
    <row r="46" spans="1:103" x14ac:dyDescent="0.45">
      <c r="A46" t="str">
        <f>'3. Frail population'!A32</f>
        <v>Frail Population.Initial prefrailty prevalance[Chinese, male, age]</v>
      </c>
      <c r="B46">
        <f>'3. Frail population'!B32</f>
        <v>0</v>
      </c>
      <c r="C46">
        <f>'3. Frail population'!C32</f>
        <v>0</v>
      </c>
      <c r="D46">
        <f>'3. Frail population'!D32</f>
        <v>0</v>
      </c>
      <c r="E46">
        <f>'3. Frail population'!E32</f>
        <v>0</v>
      </c>
      <c r="F46">
        <f>'3. Frail population'!F32</f>
        <v>0</v>
      </c>
      <c r="G46">
        <f>'3. Frail population'!G32</f>
        <v>0</v>
      </c>
      <c r="H46">
        <f>'3. Frail population'!H32</f>
        <v>0</v>
      </c>
      <c r="I46">
        <f>'3. Frail population'!I32</f>
        <v>0</v>
      </c>
      <c r="J46">
        <f>'3. Frail population'!J32</f>
        <v>0</v>
      </c>
      <c r="K46">
        <f>'3. Frail population'!K32</f>
        <v>0</v>
      </c>
      <c r="L46">
        <f>'3. Frail population'!L32</f>
        <v>0</v>
      </c>
      <c r="M46">
        <f>'3. Frail population'!M32</f>
        <v>0</v>
      </c>
      <c r="N46">
        <f>'3. Frail population'!N32</f>
        <v>0</v>
      </c>
      <c r="O46">
        <f>'3. Frail population'!O32</f>
        <v>0</v>
      </c>
      <c r="P46">
        <f>'3. Frail population'!P32</f>
        <v>0</v>
      </c>
      <c r="Q46">
        <f>'3. Frail population'!Q32</f>
        <v>0</v>
      </c>
      <c r="R46">
        <f>'3. Frail population'!R32</f>
        <v>0</v>
      </c>
      <c r="S46">
        <f>'3. Frail population'!S32</f>
        <v>0</v>
      </c>
      <c r="T46">
        <f>'3. Frail population'!T32</f>
        <v>0</v>
      </c>
      <c r="U46">
        <f>'3. Frail population'!U32</f>
        <v>0</v>
      </c>
      <c r="V46">
        <f>'3. Frail population'!V32</f>
        <v>0</v>
      </c>
      <c r="W46">
        <f>'3. Frail population'!W32</f>
        <v>0</v>
      </c>
      <c r="X46">
        <f>'3. Frail population'!X32</f>
        <v>0</v>
      </c>
      <c r="Y46">
        <f>'3. Frail population'!Y32</f>
        <v>0</v>
      </c>
      <c r="Z46">
        <f>'3. Frail population'!Z32</f>
        <v>0</v>
      </c>
      <c r="AA46">
        <f>'3. Frail population'!AA32</f>
        <v>0</v>
      </c>
      <c r="AB46">
        <f>'3. Frail population'!AB32</f>
        <v>0</v>
      </c>
      <c r="AC46">
        <f>'3. Frail population'!AC32</f>
        <v>0</v>
      </c>
      <c r="AD46">
        <f>'3. Frail population'!AD32</f>
        <v>0</v>
      </c>
      <c r="AE46">
        <f>'3. Frail population'!AE32</f>
        <v>0</v>
      </c>
      <c r="AF46">
        <f>'3. Frail population'!AF32</f>
        <v>0</v>
      </c>
      <c r="AG46">
        <f>'3. Frail population'!AG32</f>
        <v>0</v>
      </c>
      <c r="AH46">
        <f>'3. Frail population'!AH32</f>
        <v>0</v>
      </c>
      <c r="AI46">
        <f>'3. Frail population'!AI32</f>
        <v>0</v>
      </c>
      <c r="AJ46">
        <f>'3. Frail population'!AJ32</f>
        <v>0</v>
      </c>
      <c r="AK46">
        <f>'3. Frail population'!AK32</f>
        <v>0</v>
      </c>
      <c r="AL46">
        <f>'3. Frail population'!AL32</f>
        <v>0</v>
      </c>
      <c r="AM46">
        <f>'3. Frail population'!AM32</f>
        <v>0</v>
      </c>
      <c r="AN46">
        <f>'3. Frail population'!AN32</f>
        <v>0</v>
      </c>
      <c r="AO46">
        <f>'3. Frail population'!AO32</f>
        <v>0</v>
      </c>
      <c r="AP46">
        <f>'3. Frail population'!AP32</f>
        <v>0</v>
      </c>
      <c r="AQ46">
        <f>'3. Frail population'!AQ32</f>
        <v>0</v>
      </c>
      <c r="AR46">
        <f>'3. Frail population'!AR32</f>
        <v>0</v>
      </c>
      <c r="AS46">
        <f>'3. Frail population'!AS32</f>
        <v>0</v>
      </c>
      <c r="AT46">
        <f>'3. Frail population'!AT32</f>
        <v>0</v>
      </c>
      <c r="AU46">
        <f>'3. Frail population'!AU32</f>
        <v>0</v>
      </c>
      <c r="AV46">
        <f>'3. Frail population'!AV32</f>
        <v>0</v>
      </c>
      <c r="AW46">
        <f>'3. Frail population'!AW32</f>
        <v>0</v>
      </c>
      <c r="AX46">
        <f>'3. Frail population'!AX32</f>
        <v>0</v>
      </c>
      <c r="AY46">
        <f>'3. Frail population'!AY32</f>
        <v>0</v>
      </c>
      <c r="AZ46">
        <f>'3. Frail population'!AZ32</f>
        <v>0</v>
      </c>
      <c r="BA46">
        <f>'3. Frail population'!BA32</f>
        <v>3.1692980136972013E-2</v>
      </c>
      <c r="BB46">
        <f>'3. Frail population'!BB32</f>
        <v>6.3385960273944025E-2</v>
      </c>
      <c r="BC46">
        <f>'3. Frail population'!BC32</f>
        <v>9.5078940410916038E-2</v>
      </c>
      <c r="BD46">
        <f>'3. Frail population'!BD32</f>
        <v>0.12677192054788805</v>
      </c>
      <c r="BE46">
        <f>'3. Frail population'!BE32</f>
        <v>0.15846490068486005</v>
      </c>
      <c r="BF46">
        <f>'3. Frail population'!BF32</f>
        <v>0.19015788082183208</v>
      </c>
      <c r="BG46">
        <f>'3. Frail population'!BG32</f>
        <v>0.2218508609588041</v>
      </c>
      <c r="BH46">
        <f>'3. Frail population'!BH32</f>
        <v>0.2535438410957761</v>
      </c>
      <c r="BI46">
        <f>'3. Frail population'!BI32</f>
        <v>0.28523682123274807</v>
      </c>
      <c r="BJ46">
        <f>'3. Frail population'!BJ32</f>
        <v>0.3169298013697201</v>
      </c>
      <c r="BK46">
        <f>'3. Frail population'!BK32</f>
        <v>0.34862278150669213</v>
      </c>
      <c r="BL46">
        <f>'3. Frail population'!BL32</f>
        <v>0.34862278150669213</v>
      </c>
      <c r="BM46">
        <f>'3. Frail population'!BM32</f>
        <v>0.34862278150669213</v>
      </c>
      <c r="BN46">
        <f>'3. Frail population'!BN32</f>
        <v>0.34862278150669213</v>
      </c>
      <c r="BO46">
        <f>'3. Frail population'!BO32</f>
        <v>0.34862278150669213</v>
      </c>
      <c r="BP46">
        <f>'3. Frail population'!BP32</f>
        <v>0.34862278150669213</v>
      </c>
      <c r="BQ46">
        <f>'3. Frail population'!BQ32</f>
        <v>0.34862278150669213</v>
      </c>
      <c r="BR46">
        <f>'3. Frail population'!BR32</f>
        <v>0.34862278150669213</v>
      </c>
      <c r="BS46">
        <f>'3. Frail population'!BS32</f>
        <v>0.34862278150669213</v>
      </c>
      <c r="BT46">
        <f>'3. Frail population'!BT32</f>
        <v>0.34862278150669213</v>
      </c>
      <c r="BU46">
        <f>'3. Frail population'!BU32</f>
        <v>0.34862278150669213</v>
      </c>
      <c r="BV46">
        <f>'3. Frail population'!BV32</f>
        <v>0.34862278150669213</v>
      </c>
      <c r="BW46">
        <f>'3. Frail population'!BW32</f>
        <v>0.34862278150669213</v>
      </c>
      <c r="BX46">
        <f>'3. Frail population'!BX32</f>
        <v>0.34862278150669213</v>
      </c>
      <c r="BY46">
        <f>'3. Frail population'!BY32</f>
        <v>0.34862278150669213</v>
      </c>
      <c r="BZ46">
        <f>'3. Frail population'!BZ32</f>
        <v>0.47342140603335259</v>
      </c>
      <c r="CA46">
        <f>'3. Frail population'!CA32</f>
        <v>0.47342140603335259</v>
      </c>
      <c r="CB46">
        <f>'3. Frail population'!CB32</f>
        <v>0.47342140603335259</v>
      </c>
      <c r="CC46">
        <f>'3. Frail population'!CC32</f>
        <v>0.47342140603335259</v>
      </c>
      <c r="CD46">
        <f>'3. Frail population'!CD32</f>
        <v>0.47342140603335259</v>
      </c>
      <c r="CE46">
        <f>'3. Frail population'!CE32</f>
        <v>0.47342140603335259</v>
      </c>
      <c r="CF46">
        <f>'3. Frail population'!CF32</f>
        <v>0.47342140603335259</v>
      </c>
      <c r="CG46">
        <f>'3. Frail population'!CG32</f>
        <v>0.47342140603335259</v>
      </c>
      <c r="CH46">
        <f>'3. Frail population'!CH32</f>
        <v>0.47342140603335259</v>
      </c>
      <c r="CI46">
        <f>'3. Frail population'!CI32</f>
        <v>0.47342140603335259</v>
      </c>
      <c r="CJ46">
        <f>'3. Frail population'!CJ32</f>
        <v>0.49650417955428156</v>
      </c>
      <c r="CK46">
        <f>'3. Frail population'!CK32</f>
        <v>0.49650417955428156</v>
      </c>
      <c r="CL46">
        <f>'3. Frail population'!CL32</f>
        <v>0.49650417955428156</v>
      </c>
      <c r="CM46">
        <f>'3. Frail population'!CM32</f>
        <v>0.49650417955428156</v>
      </c>
      <c r="CN46">
        <f>'3. Frail population'!CN32</f>
        <v>0.49650417955428156</v>
      </c>
      <c r="CO46">
        <f>'3. Frail population'!CO32</f>
        <v>0.49650417955428156</v>
      </c>
      <c r="CP46">
        <f>'3. Frail population'!CP32</f>
        <v>0.49650417955428156</v>
      </c>
      <c r="CQ46">
        <f>'3. Frail population'!CQ32</f>
        <v>0.49650417955428156</v>
      </c>
      <c r="CR46">
        <f>'3. Frail population'!CR32</f>
        <v>0.49650417955428156</v>
      </c>
      <c r="CS46">
        <f>'3. Frail population'!CS32</f>
        <v>0.49650417955428156</v>
      </c>
      <c r="CT46">
        <f>'3. Frail population'!CT32</f>
        <v>0.49650417955428156</v>
      </c>
      <c r="CU46">
        <f>'3. Frail population'!CU32</f>
        <v>0.49650417955428156</v>
      </c>
      <c r="CV46">
        <f>'3. Frail population'!CV32</f>
        <v>0.49650417955428156</v>
      </c>
      <c r="CW46">
        <f>'3. Frail population'!CW32</f>
        <v>0.49650417955428156</v>
      </c>
      <c r="CX46">
        <f>'3. Frail population'!CX32</f>
        <v>0.49650417955428156</v>
      </c>
      <c r="CY46">
        <f>'3. Frail population'!CY32</f>
        <v>0.49650417955428156</v>
      </c>
    </row>
    <row r="47" spans="1:103" x14ac:dyDescent="0.45">
      <c r="A47" t="str">
        <f>'3. Frail population'!A33</f>
        <v>Frail Population.Initial prefrailty prevalance[Chinese, female, age]</v>
      </c>
      <c r="B47">
        <f>'3. Frail population'!B33</f>
        <v>0</v>
      </c>
      <c r="C47">
        <f>'3. Frail population'!C33</f>
        <v>0</v>
      </c>
      <c r="D47">
        <f>'3. Frail population'!D33</f>
        <v>0</v>
      </c>
      <c r="E47">
        <f>'3. Frail population'!E33</f>
        <v>0</v>
      </c>
      <c r="F47">
        <f>'3. Frail population'!F33</f>
        <v>0</v>
      </c>
      <c r="G47">
        <f>'3. Frail population'!G33</f>
        <v>0</v>
      </c>
      <c r="H47">
        <f>'3. Frail population'!H33</f>
        <v>0</v>
      </c>
      <c r="I47">
        <f>'3. Frail population'!I33</f>
        <v>0</v>
      </c>
      <c r="J47">
        <f>'3. Frail population'!J33</f>
        <v>0</v>
      </c>
      <c r="K47">
        <f>'3. Frail population'!K33</f>
        <v>0</v>
      </c>
      <c r="L47">
        <f>'3. Frail population'!L33</f>
        <v>0</v>
      </c>
      <c r="M47">
        <f>'3. Frail population'!M33</f>
        <v>0</v>
      </c>
      <c r="N47">
        <f>'3. Frail population'!N33</f>
        <v>0</v>
      </c>
      <c r="O47">
        <f>'3. Frail population'!O33</f>
        <v>0</v>
      </c>
      <c r="P47">
        <f>'3. Frail population'!P33</f>
        <v>0</v>
      </c>
      <c r="Q47">
        <f>'3. Frail population'!Q33</f>
        <v>0</v>
      </c>
      <c r="R47">
        <f>'3. Frail population'!R33</f>
        <v>0</v>
      </c>
      <c r="S47">
        <f>'3. Frail population'!S33</f>
        <v>0</v>
      </c>
      <c r="T47">
        <f>'3. Frail population'!T33</f>
        <v>0</v>
      </c>
      <c r="U47">
        <f>'3. Frail population'!U33</f>
        <v>0</v>
      </c>
      <c r="V47">
        <f>'3. Frail population'!V33</f>
        <v>0</v>
      </c>
      <c r="W47">
        <f>'3. Frail population'!W33</f>
        <v>0</v>
      </c>
      <c r="X47">
        <f>'3. Frail population'!X33</f>
        <v>0</v>
      </c>
      <c r="Y47">
        <f>'3. Frail population'!Y33</f>
        <v>0</v>
      </c>
      <c r="Z47">
        <f>'3. Frail population'!Z33</f>
        <v>0</v>
      </c>
      <c r="AA47">
        <f>'3. Frail population'!AA33</f>
        <v>0</v>
      </c>
      <c r="AB47">
        <f>'3. Frail population'!AB33</f>
        <v>0</v>
      </c>
      <c r="AC47">
        <f>'3. Frail population'!AC33</f>
        <v>0</v>
      </c>
      <c r="AD47">
        <f>'3. Frail population'!AD33</f>
        <v>0</v>
      </c>
      <c r="AE47">
        <f>'3. Frail population'!AE33</f>
        <v>0</v>
      </c>
      <c r="AF47">
        <f>'3. Frail population'!AF33</f>
        <v>0</v>
      </c>
      <c r="AG47">
        <f>'3. Frail population'!AG33</f>
        <v>0</v>
      </c>
      <c r="AH47">
        <f>'3. Frail population'!AH33</f>
        <v>0</v>
      </c>
      <c r="AI47">
        <f>'3. Frail population'!AI33</f>
        <v>0</v>
      </c>
      <c r="AJ47">
        <f>'3. Frail population'!AJ33</f>
        <v>0</v>
      </c>
      <c r="AK47">
        <f>'3. Frail population'!AK33</f>
        <v>0</v>
      </c>
      <c r="AL47">
        <f>'3. Frail population'!AL33</f>
        <v>0</v>
      </c>
      <c r="AM47">
        <f>'3. Frail population'!AM33</f>
        <v>0</v>
      </c>
      <c r="AN47">
        <f>'3. Frail population'!AN33</f>
        <v>0</v>
      </c>
      <c r="AO47">
        <f>'3. Frail population'!AO33</f>
        <v>0</v>
      </c>
      <c r="AP47">
        <f>'3. Frail population'!AP33</f>
        <v>0</v>
      </c>
      <c r="AQ47">
        <f>'3. Frail population'!AQ33</f>
        <v>0</v>
      </c>
      <c r="AR47">
        <f>'3. Frail population'!AR33</f>
        <v>0</v>
      </c>
      <c r="AS47">
        <f>'3. Frail population'!AS33</f>
        <v>0</v>
      </c>
      <c r="AT47">
        <f>'3. Frail population'!AT33</f>
        <v>0</v>
      </c>
      <c r="AU47">
        <f>'3. Frail population'!AU33</f>
        <v>0</v>
      </c>
      <c r="AV47">
        <f>'3. Frail population'!AV33</f>
        <v>0</v>
      </c>
      <c r="AW47">
        <f>'3. Frail population'!AW33</f>
        <v>0</v>
      </c>
      <c r="AX47">
        <f>'3. Frail population'!AX33</f>
        <v>0</v>
      </c>
      <c r="AY47">
        <f>'3. Frail population'!AY33</f>
        <v>0</v>
      </c>
      <c r="AZ47">
        <f>'3. Frail population'!AZ33</f>
        <v>0</v>
      </c>
      <c r="BA47">
        <f>'3. Frail population'!BA33</f>
        <v>3.8072712307428459E-2</v>
      </c>
      <c r="BB47">
        <f>'3. Frail population'!BB33</f>
        <v>7.6145424614856919E-2</v>
      </c>
      <c r="BC47">
        <f>'3. Frail population'!BC33</f>
        <v>0.11421813692228538</v>
      </c>
      <c r="BD47">
        <f>'3. Frail population'!BD33</f>
        <v>0.15229084922971384</v>
      </c>
      <c r="BE47">
        <f>'3. Frail population'!BE33</f>
        <v>0.19036356153714229</v>
      </c>
      <c r="BF47">
        <f>'3. Frail population'!BF33</f>
        <v>0.22843627384457077</v>
      </c>
      <c r="BG47">
        <f>'3. Frail population'!BG33</f>
        <v>0.26650898615199919</v>
      </c>
      <c r="BH47">
        <f>'3. Frail population'!BH33</f>
        <v>0.30458169845942767</v>
      </c>
      <c r="BI47">
        <f>'3. Frail population'!BI33</f>
        <v>0.34265441076685615</v>
      </c>
      <c r="BJ47">
        <f>'3. Frail population'!BJ33</f>
        <v>0.38072712307428458</v>
      </c>
      <c r="BK47">
        <f>'3. Frail population'!BK33</f>
        <v>0.41879983538171306</v>
      </c>
      <c r="BL47">
        <f>'3. Frail population'!BL33</f>
        <v>0.41879983538171306</v>
      </c>
      <c r="BM47">
        <f>'3. Frail population'!BM33</f>
        <v>0.41879983538171306</v>
      </c>
      <c r="BN47">
        <f>'3. Frail population'!BN33</f>
        <v>0.41879983538171306</v>
      </c>
      <c r="BO47">
        <f>'3. Frail population'!BO33</f>
        <v>0.41879983538171306</v>
      </c>
      <c r="BP47">
        <f>'3. Frail population'!BP33</f>
        <v>0.41879983538171306</v>
      </c>
      <c r="BQ47">
        <f>'3. Frail population'!BQ33</f>
        <v>0.41879983538171306</v>
      </c>
      <c r="BR47">
        <f>'3. Frail population'!BR33</f>
        <v>0.41879983538171306</v>
      </c>
      <c r="BS47">
        <f>'3. Frail population'!BS33</f>
        <v>0.41879983538171306</v>
      </c>
      <c r="BT47">
        <f>'3. Frail population'!BT33</f>
        <v>0.41879983538171306</v>
      </c>
      <c r="BU47">
        <f>'3. Frail population'!BU33</f>
        <v>0.41879983538171306</v>
      </c>
      <c r="BV47">
        <f>'3. Frail population'!BV33</f>
        <v>0.41879983538171306</v>
      </c>
      <c r="BW47">
        <f>'3. Frail population'!BW33</f>
        <v>0.41879983538171306</v>
      </c>
      <c r="BX47">
        <f>'3. Frail population'!BX33</f>
        <v>0.41879983538171306</v>
      </c>
      <c r="BY47">
        <f>'3. Frail population'!BY33</f>
        <v>0.41879983538171306</v>
      </c>
      <c r="BZ47">
        <f>'3. Frail population'!BZ33</f>
        <v>0.53994594180539168</v>
      </c>
      <c r="CA47">
        <f>'3. Frail population'!CA33</f>
        <v>0.53994594180539168</v>
      </c>
      <c r="CB47">
        <f>'3. Frail population'!CB33</f>
        <v>0.53994594180539168</v>
      </c>
      <c r="CC47">
        <f>'3. Frail population'!CC33</f>
        <v>0.53994594180539168</v>
      </c>
      <c r="CD47">
        <f>'3. Frail population'!CD33</f>
        <v>0.53994594180539168</v>
      </c>
      <c r="CE47">
        <f>'3. Frail population'!CE33</f>
        <v>0.53994594180539168</v>
      </c>
      <c r="CF47">
        <f>'3. Frail population'!CF33</f>
        <v>0.53994594180539168</v>
      </c>
      <c r="CG47">
        <f>'3. Frail population'!CG33</f>
        <v>0.53994594180539168</v>
      </c>
      <c r="CH47">
        <f>'3. Frail population'!CH33</f>
        <v>0.53994594180539168</v>
      </c>
      <c r="CI47">
        <f>'3. Frail population'!CI33</f>
        <v>0.53994594180539168</v>
      </c>
      <c r="CJ47">
        <f>'3. Frail population'!CJ33</f>
        <v>0.54832431489987699</v>
      </c>
      <c r="CK47">
        <f>'3. Frail population'!CK33</f>
        <v>0.54832431489987699</v>
      </c>
      <c r="CL47">
        <f>'3. Frail population'!CL33</f>
        <v>0.54832431489987699</v>
      </c>
      <c r="CM47">
        <f>'3. Frail population'!CM33</f>
        <v>0.54832431489987699</v>
      </c>
      <c r="CN47">
        <f>'3. Frail population'!CN33</f>
        <v>0.54832431489987699</v>
      </c>
      <c r="CO47">
        <f>'3. Frail population'!CO33</f>
        <v>0.54832431489987699</v>
      </c>
      <c r="CP47">
        <f>'3. Frail population'!CP33</f>
        <v>0.54832431489987699</v>
      </c>
      <c r="CQ47">
        <f>'3. Frail population'!CQ33</f>
        <v>0.54832431489987699</v>
      </c>
      <c r="CR47">
        <f>'3. Frail population'!CR33</f>
        <v>0.54832431489987699</v>
      </c>
      <c r="CS47">
        <f>'3. Frail population'!CS33</f>
        <v>0.54832431489987699</v>
      </c>
      <c r="CT47">
        <f>'3. Frail population'!CT33</f>
        <v>0.54832431489987699</v>
      </c>
      <c r="CU47">
        <f>'3. Frail population'!CU33</f>
        <v>0.54832431489987699</v>
      </c>
      <c r="CV47">
        <f>'3. Frail population'!CV33</f>
        <v>0.54832431489987699</v>
      </c>
      <c r="CW47">
        <f>'3. Frail population'!CW33</f>
        <v>0.54832431489987699</v>
      </c>
      <c r="CX47">
        <f>'3. Frail population'!CX33</f>
        <v>0.54832431489987699</v>
      </c>
      <c r="CY47">
        <f>'3. Frail population'!CY33</f>
        <v>0.54832431489987699</v>
      </c>
    </row>
    <row r="48" spans="1:103" x14ac:dyDescent="0.45">
      <c r="A48" t="str">
        <f>'3. Frail population'!A34</f>
        <v>Frail Population.Initial prefrailty prevalance[Malay, male, age]</v>
      </c>
      <c r="B48">
        <f>'3. Frail population'!B34</f>
        <v>0</v>
      </c>
      <c r="C48">
        <f>'3. Frail population'!C34</f>
        <v>0</v>
      </c>
      <c r="D48">
        <f>'3. Frail population'!D34</f>
        <v>0</v>
      </c>
      <c r="E48">
        <f>'3. Frail population'!E34</f>
        <v>0</v>
      </c>
      <c r="F48">
        <f>'3. Frail population'!F34</f>
        <v>0</v>
      </c>
      <c r="G48">
        <f>'3. Frail population'!G34</f>
        <v>0</v>
      </c>
      <c r="H48">
        <f>'3. Frail population'!H34</f>
        <v>0</v>
      </c>
      <c r="I48">
        <f>'3. Frail population'!I34</f>
        <v>0</v>
      </c>
      <c r="J48">
        <f>'3. Frail population'!J34</f>
        <v>0</v>
      </c>
      <c r="K48">
        <f>'3. Frail population'!K34</f>
        <v>0</v>
      </c>
      <c r="L48">
        <f>'3. Frail population'!L34</f>
        <v>0</v>
      </c>
      <c r="M48">
        <f>'3. Frail population'!M34</f>
        <v>0</v>
      </c>
      <c r="N48">
        <f>'3. Frail population'!N34</f>
        <v>0</v>
      </c>
      <c r="O48">
        <f>'3. Frail population'!O34</f>
        <v>0</v>
      </c>
      <c r="P48">
        <f>'3. Frail population'!P34</f>
        <v>0</v>
      </c>
      <c r="Q48">
        <f>'3. Frail population'!Q34</f>
        <v>0</v>
      </c>
      <c r="R48">
        <f>'3. Frail population'!R34</f>
        <v>0</v>
      </c>
      <c r="S48">
        <f>'3. Frail population'!S34</f>
        <v>0</v>
      </c>
      <c r="T48">
        <f>'3. Frail population'!T34</f>
        <v>0</v>
      </c>
      <c r="U48">
        <f>'3. Frail population'!U34</f>
        <v>0</v>
      </c>
      <c r="V48">
        <f>'3. Frail population'!V34</f>
        <v>0</v>
      </c>
      <c r="W48">
        <f>'3. Frail population'!W34</f>
        <v>0</v>
      </c>
      <c r="X48">
        <f>'3. Frail population'!X34</f>
        <v>0</v>
      </c>
      <c r="Y48">
        <f>'3. Frail population'!Y34</f>
        <v>0</v>
      </c>
      <c r="Z48">
        <f>'3. Frail population'!Z34</f>
        <v>0</v>
      </c>
      <c r="AA48">
        <f>'3. Frail population'!AA34</f>
        <v>0</v>
      </c>
      <c r="AB48">
        <f>'3. Frail population'!AB34</f>
        <v>0</v>
      </c>
      <c r="AC48">
        <f>'3. Frail population'!AC34</f>
        <v>0</v>
      </c>
      <c r="AD48">
        <f>'3. Frail population'!AD34</f>
        <v>0</v>
      </c>
      <c r="AE48">
        <f>'3. Frail population'!AE34</f>
        <v>0</v>
      </c>
      <c r="AF48">
        <f>'3. Frail population'!AF34</f>
        <v>0</v>
      </c>
      <c r="AG48">
        <f>'3. Frail population'!AG34</f>
        <v>0</v>
      </c>
      <c r="AH48">
        <f>'3. Frail population'!AH34</f>
        <v>0</v>
      </c>
      <c r="AI48">
        <f>'3. Frail population'!AI34</f>
        <v>0</v>
      </c>
      <c r="AJ48">
        <f>'3. Frail population'!AJ34</f>
        <v>0</v>
      </c>
      <c r="AK48">
        <f>'3. Frail population'!AK34</f>
        <v>0</v>
      </c>
      <c r="AL48">
        <f>'3. Frail population'!AL34</f>
        <v>0</v>
      </c>
      <c r="AM48">
        <f>'3. Frail population'!AM34</f>
        <v>0</v>
      </c>
      <c r="AN48">
        <f>'3. Frail population'!AN34</f>
        <v>0</v>
      </c>
      <c r="AO48">
        <f>'3. Frail population'!AO34</f>
        <v>0</v>
      </c>
      <c r="AP48">
        <f>'3. Frail population'!AP34</f>
        <v>0</v>
      </c>
      <c r="AQ48">
        <f>'3. Frail population'!AQ34</f>
        <v>0</v>
      </c>
      <c r="AR48">
        <f>'3. Frail population'!AR34</f>
        <v>0</v>
      </c>
      <c r="AS48">
        <f>'3. Frail population'!AS34</f>
        <v>0</v>
      </c>
      <c r="AT48">
        <f>'3. Frail population'!AT34</f>
        <v>0</v>
      </c>
      <c r="AU48">
        <f>'3. Frail population'!AU34</f>
        <v>0</v>
      </c>
      <c r="AV48">
        <f>'3. Frail population'!AV34</f>
        <v>0</v>
      </c>
      <c r="AW48">
        <f>'3. Frail population'!AW34</f>
        <v>0</v>
      </c>
      <c r="AX48">
        <f>'3. Frail population'!AX34</f>
        <v>0</v>
      </c>
      <c r="AY48">
        <f>'3. Frail population'!AY34</f>
        <v>0</v>
      </c>
      <c r="AZ48">
        <f>'3. Frail population'!AZ34</f>
        <v>0</v>
      </c>
      <c r="BA48">
        <f>'3. Frail population'!BA34</f>
        <v>4.0232953361493608E-2</v>
      </c>
      <c r="BB48">
        <f>'3. Frail population'!BB34</f>
        <v>8.0465906722987215E-2</v>
      </c>
      <c r="BC48">
        <f>'3. Frail population'!BC34</f>
        <v>0.12069886008448082</v>
      </c>
      <c r="BD48">
        <f>'3. Frail population'!BD34</f>
        <v>0.16093181344597443</v>
      </c>
      <c r="BE48">
        <f>'3. Frail population'!BE34</f>
        <v>0.20116476680746806</v>
      </c>
      <c r="BF48">
        <f>'3. Frail population'!BF34</f>
        <v>0.24139772016896163</v>
      </c>
      <c r="BG48">
        <f>'3. Frail population'!BG34</f>
        <v>0.28163067353045529</v>
      </c>
      <c r="BH48">
        <f>'3. Frail population'!BH34</f>
        <v>0.32186362689194886</v>
      </c>
      <c r="BI48">
        <f>'3. Frail population'!BI34</f>
        <v>0.36209658025344243</v>
      </c>
      <c r="BJ48">
        <f>'3. Frail population'!BJ34</f>
        <v>0.40232953361493612</v>
      </c>
      <c r="BK48">
        <f>'3. Frail population'!BK34</f>
        <v>0.44256248697642969</v>
      </c>
      <c r="BL48">
        <f>'3. Frail population'!BL34</f>
        <v>0.44256248697642969</v>
      </c>
      <c r="BM48">
        <f>'3. Frail population'!BM34</f>
        <v>0.44256248697642969</v>
      </c>
      <c r="BN48">
        <f>'3. Frail population'!BN34</f>
        <v>0.44256248697642969</v>
      </c>
      <c r="BO48">
        <f>'3. Frail population'!BO34</f>
        <v>0.44256248697642969</v>
      </c>
      <c r="BP48">
        <f>'3. Frail population'!BP34</f>
        <v>0.44256248697642969</v>
      </c>
      <c r="BQ48">
        <f>'3. Frail population'!BQ34</f>
        <v>0.44256248697642969</v>
      </c>
      <c r="BR48">
        <f>'3. Frail population'!BR34</f>
        <v>0.44256248697642969</v>
      </c>
      <c r="BS48">
        <f>'3. Frail population'!BS34</f>
        <v>0.44256248697642969</v>
      </c>
      <c r="BT48">
        <f>'3. Frail population'!BT34</f>
        <v>0.44256248697642969</v>
      </c>
      <c r="BU48">
        <f>'3. Frail population'!BU34</f>
        <v>0.44256248697642969</v>
      </c>
      <c r="BV48">
        <f>'3. Frail population'!BV34</f>
        <v>0.44256248697642969</v>
      </c>
      <c r="BW48">
        <f>'3. Frail population'!BW34</f>
        <v>0.44256248697642969</v>
      </c>
      <c r="BX48">
        <f>'3. Frail population'!BX34</f>
        <v>0.44256248697642969</v>
      </c>
      <c r="BY48">
        <f>'3. Frail population'!BY34</f>
        <v>0.44256248697642969</v>
      </c>
      <c r="BZ48">
        <f>'3. Frail population'!BZ34</f>
        <v>0.55355983023257294</v>
      </c>
      <c r="CA48">
        <f>'3. Frail population'!CA34</f>
        <v>0.55355983023257294</v>
      </c>
      <c r="CB48">
        <f>'3. Frail population'!CB34</f>
        <v>0.55355983023257294</v>
      </c>
      <c r="CC48">
        <f>'3. Frail population'!CC34</f>
        <v>0.55355983023257294</v>
      </c>
      <c r="CD48">
        <f>'3. Frail population'!CD34</f>
        <v>0.55355983023257294</v>
      </c>
      <c r="CE48">
        <f>'3. Frail population'!CE34</f>
        <v>0.55355983023257294</v>
      </c>
      <c r="CF48">
        <f>'3. Frail population'!CF34</f>
        <v>0.55355983023257294</v>
      </c>
      <c r="CG48">
        <f>'3. Frail population'!CG34</f>
        <v>0.55355983023257294</v>
      </c>
      <c r="CH48">
        <f>'3. Frail population'!CH34</f>
        <v>0.55355983023257294</v>
      </c>
      <c r="CI48">
        <f>'3. Frail population'!CI34</f>
        <v>0.55355983023257294</v>
      </c>
      <c r="CJ48">
        <f>'3. Frail population'!CJ34</f>
        <v>0.54407202866401227</v>
      </c>
      <c r="CK48">
        <f>'3. Frail population'!CK34</f>
        <v>0.54407202866401227</v>
      </c>
      <c r="CL48">
        <f>'3. Frail population'!CL34</f>
        <v>0.54407202866401227</v>
      </c>
      <c r="CM48">
        <f>'3. Frail population'!CM34</f>
        <v>0.54407202866401227</v>
      </c>
      <c r="CN48">
        <f>'3. Frail population'!CN34</f>
        <v>0.54407202866401227</v>
      </c>
      <c r="CO48">
        <f>'3. Frail population'!CO34</f>
        <v>0.54407202866401227</v>
      </c>
      <c r="CP48">
        <f>'3. Frail population'!CP34</f>
        <v>0.54407202866401227</v>
      </c>
      <c r="CQ48">
        <f>'3. Frail population'!CQ34</f>
        <v>0.54407202866401227</v>
      </c>
      <c r="CR48">
        <f>'3. Frail population'!CR34</f>
        <v>0.54407202866401227</v>
      </c>
      <c r="CS48">
        <f>'3. Frail population'!CS34</f>
        <v>0.54407202866401227</v>
      </c>
      <c r="CT48">
        <f>'3. Frail population'!CT34</f>
        <v>0.54407202866401227</v>
      </c>
      <c r="CU48">
        <f>'3. Frail population'!CU34</f>
        <v>0.54407202866401227</v>
      </c>
      <c r="CV48">
        <f>'3. Frail population'!CV34</f>
        <v>0.54407202866401227</v>
      </c>
      <c r="CW48">
        <f>'3. Frail population'!CW34</f>
        <v>0.54407202866401227</v>
      </c>
      <c r="CX48">
        <f>'3. Frail population'!CX34</f>
        <v>0.54407202866401227</v>
      </c>
      <c r="CY48">
        <f>'3. Frail population'!CY34</f>
        <v>0.54407202866401227</v>
      </c>
    </row>
    <row r="49" spans="1:103" x14ac:dyDescent="0.45">
      <c r="A49" t="str">
        <f>'3. Frail population'!A35</f>
        <v>Frail Population.Initial prefrailty prevalance[Malay, female, age]</v>
      </c>
      <c r="B49">
        <f>'3. Frail population'!B35</f>
        <v>0</v>
      </c>
      <c r="C49">
        <f>'3. Frail population'!C35</f>
        <v>0</v>
      </c>
      <c r="D49">
        <f>'3. Frail population'!D35</f>
        <v>0</v>
      </c>
      <c r="E49">
        <f>'3. Frail population'!E35</f>
        <v>0</v>
      </c>
      <c r="F49">
        <f>'3. Frail population'!F35</f>
        <v>0</v>
      </c>
      <c r="G49">
        <f>'3. Frail population'!G35</f>
        <v>0</v>
      </c>
      <c r="H49">
        <f>'3. Frail population'!H35</f>
        <v>0</v>
      </c>
      <c r="I49">
        <f>'3. Frail population'!I35</f>
        <v>0</v>
      </c>
      <c r="J49">
        <f>'3. Frail population'!J35</f>
        <v>0</v>
      </c>
      <c r="K49">
        <f>'3. Frail population'!K35</f>
        <v>0</v>
      </c>
      <c r="L49">
        <f>'3. Frail population'!L35</f>
        <v>0</v>
      </c>
      <c r="M49">
        <f>'3. Frail population'!M35</f>
        <v>0</v>
      </c>
      <c r="N49">
        <f>'3. Frail population'!N35</f>
        <v>0</v>
      </c>
      <c r="O49">
        <f>'3. Frail population'!O35</f>
        <v>0</v>
      </c>
      <c r="P49">
        <f>'3. Frail population'!P35</f>
        <v>0</v>
      </c>
      <c r="Q49">
        <f>'3. Frail population'!Q35</f>
        <v>0</v>
      </c>
      <c r="R49">
        <f>'3. Frail population'!R35</f>
        <v>0</v>
      </c>
      <c r="S49">
        <f>'3. Frail population'!S35</f>
        <v>0</v>
      </c>
      <c r="T49">
        <f>'3. Frail population'!T35</f>
        <v>0</v>
      </c>
      <c r="U49">
        <f>'3. Frail population'!U35</f>
        <v>0</v>
      </c>
      <c r="V49">
        <f>'3. Frail population'!V35</f>
        <v>0</v>
      </c>
      <c r="W49">
        <f>'3. Frail population'!W35</f>
        <v>0</v>
      </c>
      <c r="X49">
        <f>'3. Frail population'!X35</f>
        <v>0</v>
      </c>
      <c r="Y49">
        <f>'3. Frail population'!Y35</f>
        <v>0</v>
      </c>
      <c r="Z49">
        <f>'3. Frail population'!Z35</f>
        <v>0</v>
      </c>
      <c r="AA49">
        <f>'3. Frail population'!AA35</f>
        <v>0</v>
      </c>
      <c r="AB49">
        <f>'3. Frail population'!AB35</f>
        <v>0</v>
      </c>
      <c r="AC49">
        <f>'3. Frail population'!AC35</f>
        <v>0</v>
      </c>
      <c r="AD49">
        <f>'3. Frail population'!AD35</f>
        <v>0</v>
      </c>
      <c r="AE49">
        <f>'3. Frail population'!AE35</f>
        <v>0</v>
      </c>
      <c r="AF49">
        <f>'3. Frail population'!AF35</f>
        <v>0</v>
      </c>
      <c r="AG49">
        <f>'3. Frail population'!AG35</f>
        <v>0</v>
      </c>
      <c r="AH49">
        <f>'3. Frail population'!AH35</f>
        <v>0</v>
      </c>
      <c r="AI49">
        <f>'3. Frail population'!AI35</f>
        <v>0</v>
      </c>
      <c r="AJ49">
        <f>'3. Frail population'!AJ35</f>
        <v>0</v>
      </c>
      <c r="AK49">
        <f>'3. Frail population'!AK35</f>
        <v>0</v>
      </c>
      <c r="AL49">
        <f>'3. Frail population'!AL35</f>
        <v>0</v>
      </c>
      <c r="AM49">
        <f>'3. Frail population'!AM35</f>
        <v>0</v>
      </c>
      <c r="AN49">
        <f>'3. Frail population'!AN35</f>
        <v>0</v>
      </c>
      <c r="AO49">
        <f>'3. Frail population'!AO35</f>
        <v>0</v>
      </c>
      <c r="AP49">
        <f>'3. Frail population'!AP35</f>
        <v>0</v>
      </c>
      <c r="AQ49">
        <f>'3. Frail population'!AQ35</f>
        <v>0</v>
      </c>
      <c r="AR49">
        <f>'3. Frail population'!AR35</f>
        <v>0</v>
      </c>
      <c r="AS49">
        <f>'3. Frail population'!AS35</f>
        <v>0</v>
      </c>
      <c r="AT49">
        <f>'3. Frail population'!AT35</f>
        <v>0</v>
      </c>
      <c r="AU49">
        <f>'3. Frail population'!AU35</f>
        <v>0</v>
      </c>
      <c r="AV49">
        <f>'3. Frail population'!AV35</f>
        <v>0</v>
      </c>
      <c r="AW49">
        <f>'3. Frail population'!AW35</f>
        <v>0</v>
      </c>
      <c r="AX49">
        <f>'3. Frail population'!AX35</f>
        <v>0</v>
      </c>
      <c r="AY49">
        <f>'3. Frail population'!AY35</f>
        <v>0</v>
      </c>
      <c r="AZ49">
        <f>'3. Frail population'!AZ35</f>
        <v>0</v>
      </c>
      <c r="BA49">
        <f>'3. Frail population'!BA35</f>
        <v>4.6859594352090223E-2</v>
      </c>
      <c r="BB49">
        <f>'3. Frail population'!BB35</f>
        <v>9.3719188704180445E-2</v>
      </c>
      <c r="BC49">
        <f>'3. Frail population'!BC35</f>
        <v>0.14057878305627067</v>
      </c>
      <c r="BD49">
        <f>'3. Frail population'!BD35</f>
        <v>0.18743837740836089</v>
      </c>
      <c r="BE49">
        <f>'3. Frail population'!BE35</f>
        <v>0.23429797176045114</v>
      </c>
      <c r="BF49">
        <f>'3. Frail population'!BF35</f>
        <v>0.28115756611254134</v>
      </c>
      <c r="BG49">
        <f>'3. Frail population'!BG35</f>
        <v>0.32801716046463159</v>
      </c>
      <c r="BH49">
        <f>'3. Frail population'!BH35</f>
        <v>0.37487675481672178</v>
      </c>
      <c r="BI49">
        <f>'3. Frail population'!BI35</f>
        <v>0.42173634916881203</v>
      </c>
      <c r="BJ49">
        <f>'3. Frail population'!BJ35</f>
        <v>0.46859594352090228</v>
      </c>
      <c r="BK49">
        <f>'3. Frail population'!BK35</f>
        <v>0.51545553787299248</v>
      </c>
      <c r="BL49">
        <f>'3. Frail population'!BL35</f>
        <v>0.51545553787299248</v>
      </c>
      <c r="BM49">
        <f>'3. Frail population'!BM35</f>
        <v>0.51545553787299248</v>
      </c>
      <c r="BN49">
        <f>'3. Frail population'!BN35</f>
        <v>0.51545553787299248</v>
      </c>
      <c r="BO49">
        <f>'3. Frail population'!BO35</f>
        <v>0.51545553787299248</v>
      </c>
      <c r="BP49">
        <f>'3. Frail population'!BP35</f>
        <v>0.51545553787299248</v>
      </c>
      <c r="BQ49">
        <f>'3. Frail population'!BQ35</f>
        <v>0.51545553787299248</v>
      </c>
      <c r="BR49">
        <f>'3. Frail population'!BR35</f>
        <v>0.51545553787299248</v>
      </c>
      <c r="BS49">
        <f>'3. Frail population'!BS35</f>
        <v>0.51545553787299248</v>
      </c>
      <c r="BT49">
        <f>'3. Frail population'!BT35</f>
        <v>0.51545553787299248</v>
      </c>
      <c r="BU49">
        <f>'3. Frail population'!BU35</f>
        <v>0.51545553787299248</v>
      </c>
      <c r="BV49">
        <f>'3. Frail population'!BV35</f>
        <v>0.51545553787299248</v>
      </c>
      <c r="BW49">
        <f>'3. Frail population'!BW35</f>
        <v>0.51545553787299248</v>
      </c>
      <c r="BX49">
        <f>'3. Frail population'!BX35</f>
        <v>0.51545553787299248</v>
      </c>
      <c r="BY49">
        <f>'3. Frail population'!BY35</f>
        <v>0.51545553787299248</v>
      </c>
      <c r="BZ49">
        <f>'3. Frail population'!BZ35</f>
        <v>0.61469593856979843</v>
      </c>
      <c r="CA49">
        <f>'3. Frail population'!CA35</f>
        <v>0.61469593856979843</v>
      </c>
      <c r="CB49">
        <f>'3. Frail population'!CB35</f>
        <v>0.61469593856979843</v>
      </c>
      <c r="CC49">
        <f>'3. Frail population'!CC35</f>
        <v>0.61469593856979843</v>
      </c>
      <c r="CD49">
        <f>'3. Frail population'!CD35</f>
        <v>0.61469593856979843</v>
      </c>
      <c r="CE49">
        <f>'3. Frail population'!CE35</f>
        <v>0.61469593856979843</v>
      </c>
      <c r="CF49">
        <f>'3. Frail population'!CF35</f>
        <v>0.61469593856979843</v>
      </c>
      <c r="CG49">
        <f>'3. Frail population'!CG35</f>
        <v>0.61469593856979843</v>
      </c>
      <c r="CH49">
        <f>'3. Frail population'!CH35</f>
        <v>0.61469593856979843</v>
      </c>
      <c r="CI49">
        <f>'3. Frail population'!CI35</f>
        <v>0.61469593856979843</v>
      </c>
      <c r="CJ49">
        <f>'3. Frail population'!CJ35</f>
        <v>0.59055860616216849</v>
      </c>
      <c r="CK49">
        <f>'3. Frail population'!CK35</f>
        <v>0.59055860616216849</v>
      </c>
      <c r="CL49">
        <f>'3. Frail population'!CL35</f>
        <v>0.59055860616216849</v>
      </c>
      <c r="CM49">
        <f>'3. Frail population'!CM35</f>
        <v>0.59055860616216849</v>
      </c>
      <c r="CN49">
        <f>'3. Frail population'!CN35</f>
        <v>0.59055860616216849</v>
      </c>
      <c r="CO49">
        <f>'3. Frail population'!CO35</f>
        <v>0.59055860616216849</v>
      </c>
      <c r="CP49">
        <f>'3. Frail population'!CP35</f>
        <v>0.59055860616216849</v>
      </c>
      <c r="CQ49">
        <f>'3. Frail population'!CQ35</f>
        <v>0.59055860616216849</v>
      </c>
      <c r="CR49">
        <f>'3. Frail population'!CR35</f>
        <v>0.59055860616216849</v>
      </c>
      <c r="CS49">
        <f>'3. Frail population'!CS35</f>
        <v>0.59055860616216849</v>
      </c>
      <c r="CT49">
        <f>'3. Frail population'!CT35</f>
        <v>0.59055860616216849</v>
      </c>
      <c r="CU49">
        <f>'3. Frail population'!CU35</f>
        <v>0.59055860616216849</v>
      </c>
      <c r="CV49">
        <f>'3. Frail population'!CV35</f>
        <v>0.59055860616216849</v>
      </c>
      <c r="CW49">
        <f>'3. Frail population'!CW35</f>
        <v>0.59055860616216849</v>
      </c>
      <c r="CX49">
        <f>'3. Frail population'!CX35</f>
        <v>0.59055860616216849</v>
      </c>
      <c r="CY49">
        <f>'3. Frail population'!CY35</f>
        <v>0.59055860616216849</v>
      </c>
    </row>
    <row r="50" spans="1:103" x14ac:dyDescent="0.45">
      <c r="A50" t="str">
        <f>'3. Frail population'!A36</f>
        <v>Frail Population.Initial prefrailty prevalance[Indian, male, age]</v>
      </c>
      <c r="B50">
        <f>'3. Frail population'!B36</f>
        <v>0</v>
      </c>
      <c r="C50">
        <f>'3. Frail population'!C36</f>
        <v>0</v>
      </c>
      <c r="D50">
        <f>'3. Frail population'!D36</f>
        <v>0</v>
      </c>
      <c r="E50">
        <f>'3. Frail population'!E36</f>
        <v>0</v>
      </c>
      <c r="F50">
        <f>'3. Frail population'!F36</f>
        <v>0</v>
      </c>
      <c r="G50">
        <f>'3. Frail population'!G36</f>
        <v>0</v>
      </c>
      <c r="H50">
        <f>'3. Frail population'!H36</f>
        <v>0</v>
      </c>
      <c r="I50">
        <f>'3. Frail population'!I36</f>
        <v>0</v>
      </c>
      <c r="J50">
        <f>'3. Frail population'!J36</f>
        <v>0</v>
      </c>
      <c r="K50">
        <f>'3. Frail population'!K36</f>
        <v>0</v>
      </c>
      <c r="L50">
        <f>'3. Frail population'!L36</f>
        <v>0</v>
      </c>
      <c r="M50">
        <f>'3. Frail population'!M36</f>
        <v>0</v>
      </c>
      <c r="N50">
        <f>'3. Frail population'!N36</f>
        <v>0</v>
      </c>
      <c r="O50">
        <f>'3. Frail population'!O36</f>
        <v>0</v>
      </c>
      <c r="P50">
        <f>'3. Frail population'!P36</f>
        <v>0</v>
      </c>
      <c r="Q50">
        <f>'3. Frail population'!Q36</f>
        <v>0</v>
      </c>
      <c r="R50">
        <f>'3. Frail population'!R36</f>
        <v>0</v>
      </c>
      <c r="S50">
        <f>'3. Frail population'!S36</f>
        <v>0</v>
      </c>
      <c r="T50">
        <f>'3. Frail population'!T36</f>
        <v>0</v>
      </c>
      <c r="U50">
        <f>'3. Frail population'!U36</f>
        <v>0</v>
      </c>
      <c r="V50">
        <f>'3. Frail population'!V36</f>
        <v>0</v>
      </c>
      <c r="W50">
        <f>'3. Frail population'!W36</f>
        <v>0</v>
      </c>
      <c r="X50">
        <f>'3. Frail population'!X36</f>
        <v>0</v>
      </c>
      <c r="Y50">
        <f>'3. Frail population'!Y36</f>
        <v>0</v>
      </c>
      <c r="Z50">
        <f>'3. Frail population'!Z36</f>
        <v>0</v>
      </c>
      <c r="AA50">
        <f>'3. Frail population'!AA36</f>
        <v>0</v>
      </c>
      <c r="AB50">
        <f>'3. Frail population'!AB36</f>
        <v>0</v>
      </c>
      <c r="AC50">
        <f>'3. Frail population'!AC36</f>
        <v>0</v>
      </c>
      <c r="AD50">
        <f>'3. Frail population'!AD36</f>
        <v>0</v>
      </c>
      <c r="AE50">
        <f>'3. Frail population'!AE36</f>
        <v>0</v>
      </c>
      <c r="AF50">
        <f>'3. Frail population'!AF36</f>
        <v>0</v>
      </c>
      <c r="AG50">
        <f>'3. Frail population'!AG36</f>
        <v>0</v>
      </c>
      <c r="AH50">
        <f>'3. Frail population'!AH36</f>
        <v>0</v>
      </c>
      <c r="AI50">
        <f>'3. Frail population'!AI36</f>
        <v>0</v>
      </c>
      <c r="AJ50">
        <f>'3. Frail population'!AJ36</f>
        <v>0</v>
      </c>
      <c r="AK50">
        <f>'3. Frail population'!AK36</f>
        <v>0</v>
      </c>
      <c r="AL50">
        <f>'3. Frail population'!AL36</f>
        <v>0</v>
      </c>
      <c r="AM50">
        <f>'3. Frail population'!AM36</f>
        <v>0</v>
      </c>
      <c r="AN50">
        <f>'3. Frail population'!AN36</f>
        <v>0</v>
      </c>
      <c r="AO50">
        <f>'3. Frail population'!AO36</f>
        <v>0</v>
      </c>
      <c r="AP50">
        <f>'3. Frail population'!AP36</f>
        <v>0</v>
      </c>
      <c r="AQ50">
        <f>'3. Frail population'!AQ36</f>
        <v>0</v>
      </c>
      <c r="AR50">
        <f>'3. Frail population'!AR36</f>
        <v>0</v>
      </c>
      <c r="AS50">
        <f>'3. Frail population'!AS36</f>
        <v>0</v>
      </c>
      <c r="AT50">
        <f>'3. Frail population'!AT36</f>
        <v>0</v>
      </c>
      <c r="AU50">
        <f>'3. Frail population'!AU36</f>
        <v>0</v>
      </c>
      <c r="AV50">
        <f>'3. Frail population'!AV36</f>
        <v>0</v>
      </c>
      <c r="AW50">
        <f>'3. Frail population'!AW36</f>
        <v>0</v>
      </c>
      <c r="AX50">
        <f>'3. Frail population'!AX36</f>
        <v>0</v>
      </c>
      <c r="AY50">
        <f>'3. Frail population'!AY36</f>
        <v>0</v>
      </c>
      <c r="AZ50">
        <f>'3. Frail population'!AZ36</f>
        <v>0</v>
      </c>
      <c r="BA50">
        <f>'3. Frail population'!BA36</f>
        <v>3.6234686568750035E-2</v>
      </c>
      <c r="BB50">
        <f>'3. Frail population'!BB36</f>
        <v>7.246937313750007E-2</v>
      </c>
      <c r="BC50">
        <f>'3. Frail population'!BC36</f>
        <v>0.10870405970625012</v>
      </c>
      <c r="BD50">
        <f>'3. Frail population'!BD36</f>
        <v>0.14493874627500014</v>
      </c>
      <c r="BE50">
        <f>'3. Frail population'!BE36</f>
        <v>0.18117343284375018</v>
      </c>
      <c r="BF50">
        <f>'3. Frail population'!BF36</f>
        <v>0.21740811941250024</v>
      </c>
      <c r="BG50">
        <f>'3. Frail population'!BG36</f>
        <v>0.25364280598125027</v>
      </c>
      <c r="BH50">
        <f>'3. Frail population'!BH36</f>
        <v>0.28987749255000028</v>
      </c>
      <c r="BI50">
        <f>'3. Frail population'!BI36</f>
        <v>0.32611217911875034</v>
      </c>
      <c r="BJ50">
        <f>'3. Frail population'!BJ36</f>
        <v>0.36234686568750035</v>
      </c>
      <c r="BK50">
        <f>'3. Frail population'!BK36</f>
        <v>0.39858155225625042</v>
      </c>
      <c r="BL50">
        <f>'3. Frail population'!BL36</f>
        <v>0.39858155225625042</v>
      </c>
      <c r="BM50">
        <f>'3. Frail population'!BM36</f>
        <v>0.39858155225625042</v>
      </c>
      <c r="BN50">
        <f>'3. Frail population'!BN36</f>
        <v>0.39858155225625042</v>
      </c>
      <c r="BO50">
        <f>'3. Frail population'!BO36</f>
        <v>0.39858155225625042</v>
      </c>
      <c r="BP50">
        <f>'3. Frail population'!BP36</f>
        <v>0.39858155225625042</v>
      </c>
      <c r="BQ50">
        <f>'3. Frail population'!BQ36</f>
        <v>0.39858155225625042</v>
      </c>
      <c r="BR50">
        <f>'3. Frail population'!BR36</f>
        <v>0.39858155225625042</v>
      </c>
      <c r="BS50">
        <f>'3. Frail population'!BS36</f>
        <v>0.39858155225625042</v>
      </c>
      <c r="BT50">
        <f>'3. Frail population'!BT36</f>
        <v>0.39858155225625042</v>
      </c>
      <c r="BU50">
        <f>'3. Frail population'!BU36</f>
        <v>0.39858155225625042</v>
      </c>
      <c r="BV50">
        <f>'3. Frail population'!BV36</f>
        <v>0.39858155225625042</v>
      </c>
      <c r="BW50">
        <f>'3. Frail population'!BW36</f>
        <v>0.39858155225625042</v>
      </c>
      <c r="BX50">
        <f>'3. Frail population'!BX36</f>
        <v>0.39858155225625042</v>
      </c>
      <c r="BY50">
        <f>'3. Frail population'!BY36</f>
        <v>0.39858155225625042</v>
      </c>
      <c r="BZ50">
        <f>'3. Frail population'!BZ36</f>
        <v>0.51371811656459432</v>
      </c>
      <c r="CA50">
        <f>'3. Frail population'!CA36</f>
        <v>0.51371811656459432</v>
      </c>
      <c r="CB50">
        <f>'3. Frail population'!CB36</f>
        <v>0.51371811656459432</v>
      </c>
      <c r="CC50">
        <f>'3. Frail population'!CC36</f>
        <v>0.51371811656459432</v>
      </c>
      <c r="CD50">
        <f>'3. Frail population'!CD36</f>
        <v>0.51371811656459432</v>
      </c>
      <c r="CE50">
        <f>'3. Frail population'!CE36</f>
        <v>0.51371811656459432</v>
      </c>
      <c r="CF50">
        <f>'3. Frail population'!CF36</f>
        <v>0.51371811656459432</v>
      </c>
      <c r="CG50">
        <f>'3. Frail population'!CG36</f>
        <v>0.51371811656459432</v>
      </c>
      <c r="CH50">
        <f>'3. Frail population'!CH36</f>
        <v>0.51371811656459432</v>
      </c>
      <c r="CI50">
        <f>'3. Frail population'!CI36</f>
        <v>0.51371811656459432</v>
      </c>
      <c r="CJ50">
        <f>'3. Frail population'!CJ36</f>
        <v>0.51265225110228596</v>
      </c>
      <c r="CK50">
        <f>'3. Frail population'!CK36</f>
        <v>0.51265225110228596</v>
      </c>
      <c r="CL50">
        <f>'3. Frail population'!CL36</f>
        <v>0.51265225110228596</v>
      </c>
      <c r="CM50">
        <f>'3. Frail population'!CM36</f>
        <v>0.51265225110228596</v>
      </c>
      <c r="CN50">
        <f>'3. Frail population'!CN36</f>
        <v>0.51265225110228596</v>
      </c>
      <c r="CO50">
        <f>'3. Frail population'!CO36</f>
        <v>0.51265225110228596</v>
      </c>
      <c r="CP50">
        <f>'3. Frail population'!CP36</f>
        <v>0.51265225110228596</v>
      </c>
      <c r="CQ50">
        <f>'3. Frail population'!CQ36</f>
        <v>0.51265225110228596</v>
      </c>
      <c r="CR50">
        <f>'3. Frail population'!CR36</f>
        <v>0.51265225110228596</v>
      </c>
      <c r="CS50">
        <f>'3. Frail population'!CS36</f>
        <v>0.51265225110228596</v>
      </c>
      <c r="CT50">
        <f>'3. Frail population'!CT36</f>
        <v>0.51265225110228596</v>
      </c>
      <c r="CU50">
        <f>'3. Frail population'!CU36</f>
        <v>0.51265225110228596</v>
      </c>
      <c r="CV50">
        <f>'3. Frail population'!CV36</f>
        <v>0.51265225110228596</v>
      </c>
      <c r="CW50">
        <f>'3. Frail population'!CW36</f>
        <v>0.51265225110228596</v>
      </c>
      <c r="CX50">
        <f>'3. Frail population'!CX36</f>
        <v>0.51265225110228596</v>
      </c>
      <c r="CY50">
        <f>'3. Frail population'!CY36</f>
        <v>0.51265225110228596</v>
      </c>
    </row>
    <row r="51" spans="1:103" x14ac:dyDescent="0.45">
      <c r="A51" t="str">
        <f>'3. Frail population'!A37</f>
        <v>Frail Population.Initial prefrailty prevalance[Indian, female, age]</v>
      </c>
      <c r="B51">
        <f>'3. Frail population'!B37</f>
        <v>0</v>
      </c>
      <c r="C51">
        <f>'3. Frail population'!C37</f>
        <v>0</v>
      </c>
      <c r="D51">
        <f>'3. Frail population'!D37</f>
        <v>0</v>
      </c>
      <c r="E51">
        <f>'3. Frail population'!E37</f>
        <v>0</v>
      </c>
      <c r="F51">
        <f>'3. Frail population'!F37</f>
        <v>0</v>
      </c>
      <c r="G51">
        <f>'3. Frail population'!G37</f>
        <v>0</v>
      </c>
      <c r="H51">
        <f>'3. Frail population'!H37</f>
        <v>0</v>
      </c>
      <c r="I51">
        <f>'3. Frail population'!I37</f>
        <v>0</v>
      </c>
      <c r="J51">
        <f>'3. Frail population'!J37</f>
        <v>0</v>
      </c>
      <c r="K51">
        <f>'3. Frail population'!K37</f>
        <v>0</v>
      </c>
      <c r="L51">
        <f>'3. Frail population'!L37</f>
        <v>0</v>
      </c>
      <c r="M51">
        <f>'3. Frail population'!M37</f>
        <v>0</v>
      </c>
      <c r="N51">
        <f>'3. Frail population'!N37</f>
        <v>0</v>
      </c>
      <c r="O51">
        <f>'3. Frail population'!O37</f>
        <v>0</v>
      </c>
      <c r="P51">
        <f>'3. Frail population'!P37</f>
        <v>0</v>
      </c>
      <c r="Q51">
        <f>'3. Frail population'!Q37</f>
        <v>0</v>
      </c>
      <c r="R51">
        <f>'3. Frail population'!R37</f>
        <v>0</v>
      </c>
      <c r="S51">
        <f>'3. Frail population'!S37</f>
        <v>0</v>
      </c>
      <c r="T51">
        <f>'3. Frail population'!T37</f>
        <v>0</v>
      </c>
      <c r="U51">
        <f>'3. Frail population'!U37</f>
        <v>0</v>
      </c>
      <c r="V51">
        <f>'3. Frail population'!V37</f>
        <v>0</v>
      </c>
      <c r="W51">
        <f>'3. Frail population'!W37</f>
        <v>0</v>
      </c>
      <c r="X51">
        <f>'3. Frail population'!X37</f>
        <v>0</v>
      </c>
      <c r="Y51">
        <f>'3. Frail population'!Y37</f>
        <v>0</v>
      </c>
      <c r="Z51">
        <f>'3. Frail population'!Z37</f>
        <v>0</v>
      </c>
      <c r="AA51">
        <f>'3. Frail population'!AA37</f>
        <v>0</v>
      </c>
      <c r="AB51">
        <f>'3. Frail population'!AB37</f>
        <v>0</v>
      </c>
      <c r="AC51">
        <f>'3. Frail population'!AC37</f>
        <v>0</v>
      </c>
      <c r="AD51">
        <f>'3. Frail population'!AD37</f>
        <v>0</v>
      </c>
      <c r="AE51">
        <f>'3. Frail population'!AE37</f>
        <v>0</v>
      </c>
      <c r="AF51">
        <f>'3. Frail population'!AF37</f>
        <v>0</v>
      </c>
      <c r="AG51">
        <f>'3. Frail population'!AG37</f>
        <v>0</v>
      </c>
      <c r="AH51">
        <f>'3. Frail population'!AH37</f>
        <v>0</v>
      </c>
      <c r="AI51">
        <f>'3. Frail population'!AI37</f>
        <v>0</v>
      </c>
      <c r="AJ51">
        <f>'3. Frail population'!AJ37</f>
        <v>0</v>
      </c>
      <c r="AK51">
        <f>'3. Frail population'!AK37</f>
        <v>0</v>
      </c>
      <c r="AL51">
        <f>'3. Frail population'!AL37</f>
        <v>0</v>
      </c>
      <c r="AM51">
        <f>'3. Frail population'!AM37</f>
        <v>0</v>
      </c>
      <c r="AN51">
        <f>'3. Frail population'!AN37</f>
        <v>0</v>
      </c>
      <c r="AO51">
        <f>'3. Frail population'!AO37</f>
        <v>0</v>
      </c>
      <c r="AP51">
        <f>'3. Frail population'!AP37</f>
        <v>0</v>
      </c>
      <c r="AQ51">
        <f>'3. Frail population'!AQ37</f>
        <v>0</v>
      </c>
      <c r="AR51">
        <f>'3. Frail population'!AR37</f>
        <v>0</v>
      </c>
      <c r="AS51">
        <f>'3. Frail population'!AS37</f>
        <v>0</v>
      </c>
      <c r="AT51">
        <f>'3. Frail population'!AT37</f>
        <v>0</v>
      </c>
      <c r="AU51">
        <f>'3. Frail population'!AU37</f>
        <v>0</v>
      </c>
      <c r="AV51">
        <f>'3. Frail population'!AV37</f>
        <v>0</v>
      </c>
      <c r="AW51">
        <f>'3. Frail population'!AW37</f>
        <v>0</v>
      </c>
      <c r="AX51">
        <f>'3. Frail population'!AX37</f>
        <v>0</v>
      </c>
      <c r="AY51">
        <f>'3. Frail population'!AY37</f>
        <v>0</v>
      </c>
      <c r="AZ51">
        <f>'3. Frail population'!AZ37</f>
        <v>0</v>
      </c>
      <c r="BA51">
        <f>'3. Frail population'!BA37</f>
        <v>4.2789582736537053E-2</v>
      </c>
      <c r="BB51">
        <f>'3. Frail population'!BB37</f>
        <v>8.5579165473074106E-2</v>
      </c>
      <c r="BC51">
        <f>'3. Frail population'!BC37</f>
        <v>0.12836874820961117</v>
      </c>
      <c r="BD51">
        <f>'3. Frail population'!BD37</f>
        <v>0.17115833094614821</v>
      </c>
      <c r="BE51">
        <f>'3. Frail population'!BE37</f>
        <v>0.21394791368268529</v>
      </c>
      <c r="BF51">
        <f>'3. Frail population'!BF37</f>
        <v>0.25673749641922233</v>
      </c>
      <c r="BG51">
        <f>'3. Frail population'!BG37</f>
        <v>0.29952707915575938</v>
      </c>
      <c r="BH51">
        <f>'3. Frail population'!BH37</f>
        <v>0.34231666189229643</v>
      </c>
      <c r="BI51">
        <f>'3. Frail population'!BI37</f>
        <v>0.38510624462883353</v>
      </c>
      <c r="BJ51">
        <f>'3. Frail population'!BJ37</f>
        <v>0.42789582736537057</v>
      </c>
      <c r="BK51">
        <f>'3. Frail population'!BK37</f>
        <v>0.47068541010190762</v>
      </c>
      <c r="BL51">
        <f>'3. Frail population'!BL37</f>
        <v>0.47068541010190762</v>
      </c>
      <c r="BM51">
        <f>'3. Frail population'!BM37</f>
        <v>0.47068541010190762</v>
      </c>
      <c r="BN51">
        <f>'3. Frail population'!BN37</f>
        <v>0.47068541010190762</v>
      </c>
      <c r="BO51">
        <f>'3. Frail population'!BO37</f>
        <v>0.47068541010190762</v>
      </c>
      <c r="BP51">
        <f>'3. Frail population'!BP37</f>
        <v>0.47068541010190762</v>
      </c>
      <c r="BQ51">
        <f>'3. Frail population'!BQ37</f>
        <v>0.47068541010190762</v>
      </c>
      <c r="BR51">
        <f>'3. Frail population'!BR37</f>
        <v>0.47068541010190762</v>
      </c>
      <c r="BS51">
        <f>'3. Frail population'!BS37</f>
        <v>0.47068541010190762</v>
      </c>
      <c r="BT51">
        <f>'3. Frail population'!BT37</f>
        <v>0.47068541010190762</v>
      </c>
      <c r="BU51">
        <f>'3. Frail population'!BU37</f>
        <v>0.47068541010190762</v>
      </c>
      <c r="BV51">
        <f>'3. Frail population'!BV37</f>
        <v>0.47068541010190762</v>
      </c>
      <c r="BW51">
        <f>'3. Frail population'!BW37</f>
        <v>0.47068541010190762</v>
      </c>
      <c r="BX51">
        <f>'3. Frail population'!BX37</f>
        <v>0.47068541010190762</v>
      </c>
      <c r="BY51">
        <f>'3. Frail population'!BY37</f>
        <v>0.47068541010190762</v>
      </c>
      <c r="BZ51">
        <f>'3. Frail population'!BZ37</f>
        <v>0.57709494464758493</v>
      </c>
      <c r="CA51">
        <f>'3. Frail population'!CA37</f>
        <v>0.57709494464758493</v>
      </c>
      <c r="CB51">
        <f>'3. Frail population'!CB37</f>
        <v>0.57709494464758493</v>
      </c>
      <c r="CC51">
        <f>'3. Frail population'!CC37</f>
        <v>0.57709494464758493</v>
      </c>
      <c r="CD51">
        <f>'3. Frail population'!CD37</f>
        <v>0.57709494464758493</v>
      </c>
      <c r="CE51">
        <f>'3. Frail population'!CE37</f>
        <v>0.57709494464758493</v>
      </c>
      <c r="CF51">
        <f>'3. Frail population'!CF37</f>
        <v>0.57709494464758493</v>
      </c>
      <c r="CG51">
        <f>'3. Frail population'!CG37</f>
        <v>0.57709494464758493</v>
      </c>
      <c r="CH51">
        <f>'3. Frail population'!CH37</f>
        <v>0.57709494464758493</v>
      </c>
      <c r="CI51">
        <f>'3. Frail population'!CI37</f>
        <v>0.57709494464758493</v>
      </c>
      <c r="CJ51">
        <f>'3. Frail population'!CJ37</f>
        <v>0.56086394052742994</v>
      </c>
      <c r="CK51">
        <f>'3. Frail population'!CK37</f>
        <v>0.56086394052742994</v>
      </c>
      <c r="CL51">
        <f>'3. Frail population'!CL37</f>
        <v>0.56086394052742994</v>
      </c>
      <c r="CM51">
        <f>'3. Frail population'!CM37</f>
        <v>0.56086394052742994</v>
      </c>
      <c r="CN51">
        <f>'3. Frail population'!CN37</f>
        <v>0.56086394052742994</v>
      </c>
      <c r="CO51">
        <f>'3. Frail population'!CO37</f>
        <v>0.56086394052742994</v>
      </c>
      <c r="CP51">
        <f>'3. Frail population'!CP37</f>
        <v>0.56086394052742994</v>
      </c>
      <c r="CQ51">
        <f>'3. Frail population'!CQ37</f>
        <v>0.56086394052742994</v>
      </c>
      <c r="CR51">
        <f>'3. Frail population'!CR37</f>
        <v>0.56086394052742994</v>
      </c>
      <c r="CS51">
        <f>'3. Frail population'!CS37</f>
        <v>0.56086394052742994</v>
      </c>
      <c r="CT51">
        <f>'3. Frail population'!CT37</f>
        <v>0.56086394052742994</v>
      </c>
      <c r="CU51">
        <f>'3. Frail population'!CU37</f>
        <v>0.56086394052742994</v>
      </c>
      <c r="CV51">
        <f>'3. Frail population'!CV37</f>
        <v>0.56086394052742994</v>
      </c>
      <c r="CW51">
        <f>'3. Frail population'!CW37</f>
        <v>0.56086394052742994</v>
      </c>
      <c r="CX51">
        <f>'3. Frail population'!CX37</f>
        <v>0.56086394052742994</v>
      </c>
      <c r="CY51">
        <f>'3. Frail population'!CY37</f>
        <v>0.56086394052742994</v>
      </c>
    </row>
    <row r="52" spans="1:103" x14ac:dyDescent="0.45">
      <c r="A52" t="str">
        <f>'3. Frail population'!A38</f>
        <v>Frail Population.Initial prefrailty prevalance[Other, male, age]</v>
      </c>
      <c r="B52">
        <f>'3. Frail population'!B38</f>
        <v>0</v>
      </c>
      <c r="C52">
        <f>'3. Frail population'!C38</f>
        <v>0</v>
      </c>
      <c r="D52">
        <f>'3. Frail population'!D38</f>
        <v>0</v>
      </c>
      <c r="E52">
        <f>'3. Frail population'!E38</f>
        <v>0</v>
      </c>
      <c r="F52">
        <f>'3. Frail population'!F38</f>
        <v>0</v>
      </c>
      <c r="G52">
        <f>'3. Frail population'!G38</f>
        <v>0</v>
      </c>
      <c r="H52">
        <f>'3. Frail population'!H38</f>
        <v>0</v>
      </c>
      <c r="I52">
        <f>'3. Frail population'!I38</f>
        <v>0</v>
      </c>
      <c r="J52">
        <f>'3. Frail population'!J38</f>
        <v>0</v>
      </c>
      <c r="K52">
        <f>'3. Frail population'!K38</f>
        <v>0</v>
      </c>
      <c r="L52">
        <f>'3. Frail population'!L38</f>
        <v>0</v>
      </c>
      <c r="M52">
        <f>'3. Frail population'!M38</f>
        <v>0</v>
      </c>
      <c r="N52">
        <f>'3. Frail population'!N38</f>
        <v>0</v>
      </c>
      <c r="O52">
        <f>'3. Frail population'!O38</f>
        <v>0</v>
      </c>
      <c r="P52">
        <f>'3. Frail population'!P38</f>
        <v>0</v>
      </c>
      <c r="Q52">
        <f>'3. Frail population'!Q38</f>
        <v>0</v>
      </c>
      <c r="R52">
        <f>'3. Frail population'!R38</f>
        <v>0</v>
      </c>
      <c r="S52">
        <f>'3. Frail population'!S38</f>
        <v>0</v>
      </c>
      <c r="T52">
        <f>'3. Frail population'!T38</f>
        <v>0</v>
      </c>
      <c r="U52">
        <f>'3. Frail population'!U38</f>
        <v>0</v>
      </c>
      <c r="V52">
        <f>'3. Frail population'!V38</f>
        <v>0</v>
      </c>
      <c r="W52">
        <f>'3. Frail population'!W38</f>
        <v>0</v>
      </c>
      <c r="X52">
        <f>'3. Frail population'!X38</f>
        <v>0</v>
      </c>
      <c r="Y52">
        <f>'3. Frail population'!Y38</f>
        <v>0</v>
      </c>
      <c r="Z52">
        <f>'3. Frail population'!Z38</f>
        <v>0</v>
      </c>
      <c r="AA52">
        <f>'3. Frail population'!AA38</f>
        <v>0</v>
      </c>
      <c r="AB52">
        <f>'3. Frail population'!AB38</f>
        <v>0</v>
      </c>
      <c r="AC52">
        <f>'3. Frail population'!AC38</f>
        <v>0</v>
      </c>
      <c r="AD52">
        <f>'3. Frail population'!AD38</f>
        <v>0</v>
      </c>
      <c r="AE52">
        <f>'3. Frail population'!AE38</f>
        <v>0</v>
      </c>
      <c r="AF52">
        <f>'3. Frail population'!AF38</f>
        <v>0</v>
      </c>
      <c r="AG52">
        <f>'3. Frail population'!AG38</f>
        <v>0</v>
      </c>
      <c r="AH52">
        <f>'3. Frail population'!AH38</f>
        <v>0</v>
      </c>
      <c r="AI52">
        <f>'3. Frail population'!AI38</f>
        <v>0</v>
      </c>
      <c r="AJ52">
        <f>'3. Frail population'!AJ38</f>
        <v>0</v>
      </c>
      <c r="AK52">
        <f>'3. Frail population'!AK38</f>
        <v>0</v>
      </c>
      <c r="AL52">
        <f>'3. Frail population'!AL38</f>
        <v>0</v>
      </c>
      <c r="AM52">
        <f>'3. Frail population'!AM38</f>
        <v>0</v>
      </c>
      <c r="AN52">
        <f>'3. Frail population'!AN38</f>
        <v>0</v>
      </c>
      <c r="AO52">
        <f>'3. Frail population'!AO38</f>
        <v>0</v>
      </c>
      <c r="AP52">
        <f>'3. Frail population'!AP38</f>
        <v>0</v>
      </c>
      <c r="AQ52">
        <f>'3. Frail population'!AQ38</f>
        <v>0</v>
      </c>
      <c r="AR52">
        <f>'3. Frail population'!AR38</f>
        <v>0</v>
      </c>
      <c r="AS52">
        <f>'3. Frail population'!AS38</f>
        <v>0</v>
      </c>
      <c r="AT52">
        <f>'3. Frail population'!AT38</f>
        <v>0</v>
      </c>
      <c r="AU52">
        <f>'3. Frail population'!AU38</f>
        <v>0</v>
      </c>
      <c r="AV52">
        <f>'3. Frail population'!AV38</f>
        <v>0</v>
      </c>
      <c r="AW52">
        <f>'3. Frail population'!AW38</f>
        <v>0</v>
      </c>
      <c r="AX52">
        <f>'3. Frail population'!AX38</f>
        <v>0</v>
      </c>
      <c r="AY52">
        <f>'3. Frail population'!AY38</f>
        <v>0</v>
      </c>
      <c r="AZ52">
        <f>'3. Frail population'!AZ38</f>
        <v>0</v>
      </c>
      <c r="BA52">
        <f>'3. Frail population'!BA38</f>
        <v>2.7424942701437364E-2</v>
      </c>
      <c r="BB52">
        <f>'3. Frail population'!BB38</f>
        <v>5.4849885402874728E-2</v>
      </c>
      <c r="BC52">
        <f>'3. Frail population'!BC38</f>
        <v>8.2274828104312095E-2</v>
      </c>
      <c r="BD52">
        <f>'3. Frail population'!BD38</f>
        <v>0.10969977080574946</v>
      </c>
      <c r="BE52">
        <f>'3. Frail population'!BE38</f>
        <v>0.13712471350718683</v>
      </c>
      <c r="BF52">
        <f>'3. Frail population'!BF38</f>
        <v>0.16454965620862419</v>
      </c>
      <c r="BG52">
        <f>'3. Frail population'!BG38</f>
        <v>0.19197459891006155</v>
      </c>
      <c r="BH52">
        <f>'3. Frail population'!BH38</f>
        <v>0.21939954161149891</v>
      </c>
      <c r="BI52">
        <f>'3. Frail population'!BI38</f>
        <v>0.2468244843129363</v>
      </c>
      <c r="BJ52">
        <f>'3. Frail population'!BJ38</f>
        <v>0.27424942701437366</v>
      </c>
      <c r="BK52">
        <f>'3. Frail population'!BK38</f>
        <v>0.30167436971581102</v>
      </c>
      <c r="BL52">
        <f>'3. Frail population'!BL38</f>
        <v>0.30167436971581102</v>
      </c>
      <c r="BM52">
        <f>'3. Frail population'!BM38</f>
        <v>0.30167436971581102</v>
      </c>
      <c r="BN52">
        <f>'3. Frail population'!BN38</f>
        <v>0.30167436971581102</v>
      </c>
      <c r="BO52">
        <f>'3. Frail population'!BO38</f>
        <v>0.30167436971581102</v>
      </c>
      <c r="BP52">
        <f>'3. Frail population'!BP38</f>
        <v>0.30167436971581102</v>
      </c>
      <c r="BQ52">
        <f>'3. Frail population'!BQ38</f>
        <v>0.30167436971581102</v>
      </c>
      <c r="BR52">
        <f>'3. Frail population'!BR38</f>
        <v>0.30167436971581102</v>
      </c>
      <c r="BS52">
        <f>'3. Frail population'!BS38</f>
        <v>0.30167436971581102</v>
      </c>
      <c r="BT52">
        <f>'3. Frail population'!BT38</f>
        <v>0.30167436971581102</v>
      </c>
      <c r="BU52">
        <f>'3. Frail population'!BU38</f>
        <v>0.30167436971581102</v>
      </c>
      <c r="BV52">
        <f>'3. Frail population'!BV38</f>
        <v>0.30167436971581102</v>
      </c>
      <c r="BW52">
        <f>'3. Frail population'!BW38</f>
        <v>0.30167436971581102</v>
      </c>
      <c r="BX52">
        <f>'3. Frail population'!BX38</f>
        <v>0.30167436971581102</v>
      </c>
      <c r="BY52">
        <f>'3. Frail population'!BY38</f>
        <v>0.30167436971581102</v>
      </c>
      <c r="BZ52">
        <f>'3. Frail population'!BZ38</f>
        <v>0.41290992936544901</v>
      </c>
      <c r="CA52">
        <f>'3. Frail population'!CA38</f>
        <v>0.41290992936544901</v>
      </c>
      <c r="CB52">
        <f>'3. Frail population'!CB38</f>
        <v>0.41290992936544901</v>
      </c>
      <c r="CC52">
        <f>'3. Frail population'!CC38</f>
        <v>0.41290992936544901</v>
      </c>
      <c r="CD52">
        <f>'3. Frail population'!CD38</f>
        <v>0.41290992936544901</v>
      </c>
      <c r="CE52">
        <f>'3. Frail population'!CE38</f>
        <v>0.41290992936544901</v>
      </c>
      <c r="CF52">
        <f>'3. Frail population'!CF38</f>
        <v>0.41290992936544901</v>
      </c>
      <c r="CG52">
        <f>'3. Frail population'!CG38</f>
        <v>0.41290992936544901</v>
      </c>
      <c r="CH52">
        <f>'3. Frail population'!CH38</f>
        <v>0.41290992936544901</v>
      </c>
      <c r="CI52">
        <f>'3. Frail population'!CI38</f>
        <v>0.41290992936544901</v>
      </c>
      <c r="CJ52">
        <f>'3. Frail population'!CJ38</f>
        <v>0.42092725142580867</v>
      </c>
      <c r="CK52">
        <f>'3. Frail population'!CK38</f>
        <v>0.42092725142580867</v>
      </c>
      <c r="CL52">
        <f>'3. Frail population'!CL38</f>
        <v>0.42092725142580867</v>
      </c>
      <c r="CM52">
        <f>'3. Frail population'!CM38</f>
        <v>0.42092725142580867</v>
      </c>
      <c r="CN52">
        <f>'3. Frail population'!CN38</f>
        <v>0.42092725142580867</v>
      </c>
      <c r="CO52">
        <f>'3. Frail population'!CO38</f>
        <v>0.42092725142580867</v>
      </c>
      <c r="CP52">
        <f>'3. Frail population'!CP38</f>
        <v>0.42092725142580867</v>
      </c>
      <c r="CQ52">
        <f>'3. Frail population'!CQ38</f>
        <v>0.42092725142580867</v>
      </c>
      <c r="CR52">
        <f>'3. Frail population'!CR38</f>
        <v>0.42092725142580867</v>
      </c>
      <c r="CS52">
        <f>'3. Frail population'!CS38</f>
        <v>0.42092725142580867</v>
      </c>
      <c r="CT52">
        <f>'3. Frail population'!CT38</f>
        <v>0.42092725142580867</v>
      </c>
      <c r="CU52">
        <f>'3. Frail population'!CU38</f>
        <v>0.42092725142580867</v>
      </c>
      <c r="CV52">
        <f>'3. Frail population'!CV38</f>
        <v>0.42092725142580867</v>
      </c>
      <c r="CW52">
        <f>'3. Frail population'!CW38</f>
        <v>0.42092725142580867</v>
      </c>
      <c r="CX52">
        <f>'3. Frail population'!CX38</f>
        <v>0.42092725142580867</v>
      </c>
      <c r="CY52">
        <f>'3. Frail population'!CY38</f>
        <v>0.42092725142580867</v>
      </c>
    </row>
    <row r="53" spans="1:103" x14ac:dyDescent="0.45">
      <c r="A53" t="str">
        <f>'3. Frail population'!A39</f>
        <v>Frail Population.Initial prefrailty prevalance[Other, female, age]</v>
      </c>
      <c r="B53">
        <f>'3. Frail population'!B39</f>
        <v>0</v>
      </c>
      <c r="C53">
        <f>'3. Frail population'!C39</f>
        <v>0</v>
      </c>
      <c r="D53">
        <f>'3. Frail population'!D39</f>
        <v>0</v>
      </c>
      <c r="E53">
        <f>'3. Frail population'!E39</f>
        <v>0</v>
      </c>
      <c r="F53">
        <f>'3. Frail population'!F39</f>
        <v>0</v>
      </c>
      <c r="G53">
        <f>'3. Frail population'!G39</f>
        <v>0</v>
      </c>
      <c r="H53">
        <f>'3. Frail population'!H39</f>
        <v>0</v>
      </c>
      <c r="I53">
        <f>'3. Frail population'!I39</f>
        <v>0</v>
      </c>
      <c r="J53">
        <f>'3. Frail population'!J39</f>
        <v>0</v>
      </c>
      <c r="K53">
        <f>'3. Frail population'!K39</f>
        <v>0</v>
      </c>
      <c r="L53">
        <f>'3. Frail population'!L39</f>
        <v>0</v>
      </c>
      <c r="M53">
        <f>'3. Frail population'!M39</f>
        <v>0</v>
      </c>
      <c r="N53">
        <f>'3. Frail population'!N39</f>
        <v>0</v>
      </c>
      <c r="O53">
        <f>'3. Frail population'!O39</f>
        <v>0</v>
      </c>
      <c r="P53">
        <f>'3. Frail population'!P39</f>
        <v>0</v>
      </c>
      <c r="Q53">
        <f>'3. Frail population'!Q39</f>
        <v>0</v>
      </c>
      <c r="R53">
        <f>'3. Frail population'!R39</f>
        <v>0</v>
      </c>
      <c r="S53">
        <f>'3. Frail population'!S39</f>
        <v>0</v>
      </c>
      <c r="T53">
        <f>'3. Frail population'!T39</f>
        <v>0</v>
      </c>
      <c r="U53">
        <f>'3. Frail population'!U39</f>
        <v>0</v>
      </c>
      <c r="V53">
        <f>'3. Frail population'!V39</f>
        <v>0</v>
      </c>
      <c r="W53">
        <f>'3. Frail population'!W39</f>
        <v>0</v>
      </c>
      <c r="X53">
        <f>'3. Frail population'!X39</f>
        <v>0</v>
      </c>
      <c r="Y53">
        <f>'3. Frail population'!Y39</f>
        <v>0</v>
      </c>
      <c r="Z53">
        <f>'3. Frail population'!Z39</f>
        <v>0</v>
      </c>
      <c r="AA53">
        <f>'3. Frail population'!AA39</f>
        <v>0</v>
      </c>
      <c r="AB53">
        <f>'3. Frail population'!AB39</f>
        <v>0</v>
      </c>
      <c r="AC53">
        <f>'3. Frail population'!AC39</f>
        <v>0</v>
      </c>
      <c r="AD53">
        <f>'3. Frail population'!AD39</f>
        <v>0</v>
      </c>
      <c r="AE53">
        <f>'3. Frail population'!AE39</f>
        <v>0</v>
      </c>
      <c r="AF53">
        <f>'3. Frail population'!AF39</f>
        <v>0</v>
      </c>
      <c r="AG53">
        <f>'3. Frail population'!AG39</f>
        <v>0</v>
      </c>
      <c r="AH53">
        <f>'3. Frail population'!AH39</f>
        <v>0</v>
      </c>
      <c r="AI53">
        <f>'3. Frail population'!AI39</f>
        <v>0</v>
      </c>
      <c r="AJ53">
        <f>'3. Frail population'!AJ39</f>
        <v>0</v>
      </c>
      <c r="AK53">
        <f>'3. Frail population'!AK39</f>
        <v>0</v>
      </c>
      <c r="AL53">
        <f>'3. Frail population'!AL39</f>
        <v>0</v>
      </c>
      <c r="AM53">
        <f>'3. Frail population'!AM39</f>
        <v>0</v>
      </c>
      <c r="AN53">
        <f>'3. Frail population'!AN39</f>
        <v>0</v>
      </c>
      <c r="AO53">
        <f>'3. Frail population'!AO39</f>
        <v>0</v>
      </c>
      <c r="AP53">
        <f>'3. Frail population'!AP39</f>
        <v>0</v>
      </c>
      <c r="AQ53">
        <f>'3. Frail population'!AQ39</f>
        <v>0</v>
      </c>
      <c r="AR53">
        <f>'3. Frail population'!AR39</f>
        <v>0</v>
      </c>
      <c r="AS53">
        <f>'3. Frail population'!AS39</f>
        <v>0</v>
      </c>
      <c r="AT53">
        <f>'3. Frail population'!AT39</f>
        <v>0</v>
      </c>
      <c r="AU53">
        <f>'3. Frail population'!AU39</f>
        <v>0</v>
      </c>
      <c r="AV53">
        <f>'3. Frail population'!AV39</f>
        <v>0</v>
      </c>
      <c r="AW53">
        <f>'3. Frail population'!AW39</f>
        <v>0</v>
      </c>
      <c r="AX53">
        <f>'3. Frail population'!AX39</f>
        <v>0</v>
      </c>
      <c r="AY53">
        <f>'3. Frail population'!AY39</f>
        <v>0</v>
      </c>
      <c r="AZ53">
        <f>'3. Frail population'!AZ39</f>
        <v>0</v>
      </c>
      <c r="BA53">
        <f>'3. Frail population'!BA39</f>
        <v>3.3387960009349724E-2</v>
      </c>
      <c r="BB53">
        <f>'3. Frail population'!BB39</f>
        <v>6.6775920018699447E-2</v>
      </c>
      <c r="BC53">
        <f>'3. Frail population'!BC39</f>
        <v>0.10016388002804916</v>
      </c>
      <c r="BD53">
        <f>'3. Frail population'!BD39</f>
        <v>0.13355184003739889</v>
      </c>
      <c r="BE53">
        <f>'3. Frail population'!BE39</f>
        <v>0.1669398000467486</v>
      </c>
      <c r="BF53">
        <f>'3. Frail population'!BF39</f>
        <v>0.20032776005609831</v>
      </c>
      <c r="BG53">
        <f>'3. Frail population'!BG39</f>
        <v>0.23371572006544808</v>
      </c>
      <c r="BH53">
        <f>'3. Frail population'!BH39</f>
        <v>0.26710368007479779</v>
      </c>
      <c r="BI53">
        <f>'3. Frail population'!BI39</f>
        <v>0.30049164008414747</v>
      </c>
      <c r="BJ53">
        <f>'3. Frail population'!BJ39</f>
        <v>0.33387960009349721</v>
      </c>
      <c r="BK53">
        <f>'3. Frail population'!BK39</f>
        <v>0.36726756010284695</v>
      </c>
      <c r="BL53">
        <f>'3. Frail population'!BL39</f>
        <v>0.36726756010284695</v>
      </c>
      <c r="BM53">
        <f>'3. Frail population'!BM39</f>
        <v>0.36726756010284695</v>
      </c>
      <c r="BN53">
        <f>'3. Frail population'!BN39</f>
        <v>0.36726756010284695</v>
      </c>
      <c r="BO53">
        <f>'3. Frail population'!BO39</f>
        <v>0.36726756010284695</v>
      </c>
      <c r="BP53">
        <f>'3. Frail population'!BP39</f>
        <v>0.36726756010284695</v>
      </c>
      <c r="BQ53">
        <f>'3. Frail population'!BQ39</f>
        <v>0.36726756010284695</v>
      </c>
      <c r="BR53">
        <f>'3. Frail population'!BR39</f>
        <v>0.36726756010284695</v>
      </c>
      <c r="BS53">
        <f>'3. Frail population'!BS39</f>
        <v>0.36726756010284695</v>
      </c>
      <c r="BT53">
        <f>'3. Frail population'!BT39</f>
        <v>0.36726756010284695</v>
      </c>
      <c r="BU53">
        <f>'3. Frail population'!BU39</f>
        <v>0.36726756010284695</v>
      </c>
      <c r="BV53">
        <f>'3. Frail population'!BV39</f>
        <v>0.36726756010284695</v>
      </c>
      <c r="BW53">
        <f>'3. Frail population'!BW39</f>
        <v>0.36726756010284695</v>
      </c>
      <c r="BX53">
        <f>'3. Frail population'!BX39</f>
        <v>0.36726756010284695</v>
      </c>
      <c r="BY53">
        <f>'3. Frail population'!BY39</f>
        <v>0.36726756010284695</v>
      </c>
      <c r="BZ53">
        <f>'3. Frail population'!BZ39</f>
        <v>0.47706670638511084</v>
      </c>
      <c r="CA53">
        <f>'3. Frail population'!CA39</f>
        <v>0.47706670638511084</v>
      </c>
      <c r="CB53">
        <f>'3. Frail population'!CB39</f>
        <v>0.47706670638511084</v>
      </c>
      <c r="CC53">
        <f>'3. Frail population'!CC39</f>
        <v>0.47706670638511084</v>
      </c>
      <c r="CD53">
        <f>'3. Frail population'!CD39</f>
        <v>0.47706670638511084</v>
      </c>
      <c r="CE53">
        <f>'3. Frail population'!CE39</f>
        <v>0.47706670638511084</v>
      </c>
      <c r="CF53">
        <f>'3. Frail population'!CF39</f>
        <v>0.47706670638511084</v>
      </c>
      <c r="CG53">
        <f>'3. Frail population'!CG39</f>
        <v>0.47706670638511084</v>
      </c>
      <c r="CH53">
        <f>'3. Frail population'!CH39</f>
        <v>0.47706670638511084</v>
      </c>
      <c r="CI53">
        <f>'3. Frail population'!CI39</f>
        <v>0.47706670638511084</v>
      </c>
      <c r="CJ53">
        <f>'3. Frail population'!CJ39</f>
        <v>0.47009343201215592</v>
      </c>
      <c r="CK53">
        <f>'3. Frail population'!CK39</f>
        <v>0.47009343201215592</v>
      </c>
      <c r="CL53">
        <f>'3. Frail population'!CL39</f>
        <v>0.47009343201215592</v>
      </c>
      <c r="CM53">
        <f>'3. Frail population'!CM39</f>
        <v>0.47009343201215592</v>
      </c>
      <c r="CN53">
        <f>'3. Frail population'!CN39</f>
        <v>0.47009343201215592</v>
      </c>
      <c r="CO53">
        <f>'3. Frail population'!CO39</f>
        <v>0.47009343201215592</v>
      </c>
      <c r="CP53">
        <f>'3. Frail population'!CP39</f>
        <v>0.47009343201215592</v>
      </c>
      <c r="CQ53">
        <f>'3. Frail population'!CQ39</f>
        <v>0.47009343201215592</v>
      </c>
      <c r="CR53">
        <f>'3. Frail population'!CR39</f>
        <v>0.47009343201215592</v>
      </c>
      <c r="CS53">
        <f>'3. Frail population'!CS39</f>
        <v>0.47009343201215592</v>
      </c>
      <c r="CT53">
        <f>'3. Frail population'!CT39</f>
        <v>0.47009343201215592</v>
      </c>
      <c r="CU53">
        <f>'3. Frail population'!CU39</f>
        <v>0.47009343201215592</v>
      </c>
      <c r="CV53">
        <f>'3. Frail population'!CV39</f>
        <v>0.47009343201215592</v>
      </c>
      <c r="CW53">
        <f>'3. Frail population'!CW39</f>
        <v>0.47009343201215592</v>
      </c>
      <c r="CX53">
        <f>'3. Frail population'!CX39</f>
        <v>0.47009343201215592</v>
      </c>
      <c r="CY53">
        <f>'3. Frail population'!CY39</f>
        <v>0.47009343201215592</v>
      </c>
    </row>
    <row r="54" spans="1:103" x14ac:dyDescent="0.45">
      <c r="A54" t="str">
        <f>'3. Frail population'!A42</f>
        <v>Frail Population.relative risk mortality pre-frail diagnosed</v>
      </c>
      <c r="B54">
        <f>'3. Frail population'!B42</f>
        <v>1.58</v>
      </c>
    </row>
    <row r="55" spans="1:103" x14ac:dyDescent="0.45">
      <c r="A55" t="str">
        <f>'3. Frail population'!A43</f>
        <v>Frail Population.multiplying factor for mortality of frail people</v>
      </c>
      <c r="B55">
        <f>'3. Frail population'!B43</f>
        <v>1.44</v>
      </c>
    </row>
    <row r="56" spans="1:103" x14ac:dyDescent="0.45">
      <c r="A56" t="str">
        <f>'3. Frail population'!A46</f>
        <v>Frail Population.RR of transition for well managed</v>
      </c>
      <c r="B56">
        <f>'3. Frail population'!B46</f>
        <v>0.46</v>
      </c>
    </row>
    <row r="57" spans="1:103" x14ac:dyDescent="0.45">
      <c r="A57" t="str">
        <f>'3. Frail population'!A47</f>
        <v>Frail Population.proportion well managed</v>
      </c>
      <c r="B57">
        <f>'3. Frail population'!B47</f>
        <v>0.7</v>
      </c>
    </row>
    <row r="58" spans="1:103" x14ac:dyDescent="0.45">
      <c r="A58" t="str">
        <f>'4. Frailty screening'!A2</f>
        <v>Screening.screening cap opportunistic</v>
      </c>
      <c r="B58">
        <f>'4. Frailty screening'!B2</f>
        <v>10000</v>
      </c>
    </row>
    <row r="59" spans="1:103" x14ac:dyDescent="0.45">
      <c r="A59" t="str">
        <f>'4. Frailty screening'!A3</f>
        <v>Screening.screening cap universal</v>
      </c>
      <c r="B59">
        <f>'4. Frailty screening'!B3</f>
        <v>50000</v>
      </c>
    </row>
    <row r="60" spans="1:103" x14ac:dyDescent="0.45">
      <c r="A60" t="str">
        <f>'4. Frailty screening'!A4</f>
        <v>Screening.screening sensitivity</v>
      </c>
      <c r="B60">
        <f>'4. Frailty screening'!B4</f>
        <v>0.75</v>
      </c>
    </row>
    <row r="61" spans="1:103" x14ac:dyDescent="0.45">
      <c r="A61" t="str">
        <f>'4. Frailty screening'!A5</f>
        <v>Screening.screening specificity</v>
      </c>
      <c r="B61">
        <f>'4. Frailty screening'!B5</f>
        <v>0.75</v>
      </c>
    </row>
    <row r="62" spans="1:103" x14ac:dyDescent="0.45">
      <c r="A62" t="str">
        <f>'4. Frailty screening'!A6</f>
        <v>Screening.screening threshold age</v>
      </c>
      <c r="B62">
        <f>'4. Frailty screening'!B6</f>
        <v>70</v>
      </c>
    </row>
    <row r="63" spans="1:103" x14ac:dyDescent="0.45">
      <c r="A63" t="str">
        <f>'3. Frail population'!A58</f>
        <v>Frail Population.frailty start age</v>
      </c>
      <c r="B63">
        <f>'3. Frail population'!B58</f>
        <v>50</v>
      </c>
    </row>
    <row r="64" spans="1:103" x14ac:dyDescent="0.45">
      <c r="A64" t="str">
        <f>'3. Frail population'!A51</f>
        <v>Frail Population.raw incidence rate pre-frail to frail[male, age]</v>
      </c>
      <c r="B64">
        <f>'3. Frail population'!B51</f>
        <v>0</v>
      </c>
      <c r="C64">
        <f>'3. Frail population'!C51</f>
        <v>0</v>
      </c>
      <c r="D64">
        <f>'3. Frail population'!D51</f>
        <v>0</v>
      </c>
      <c r="E64">
        <f>'3. Frail population'!E51</f>
        <v>0</v>
      </c>
      <c r="F64">
        <f>'3. Frail population'!F51</f>
        <v>0</v>
      </c>
      <c r="G64">
        <f>'3. Frail population'!G51</f>
        <v>0</v>
      </c>
      <c r="H64">
        <f>'3. Frail population'!H51</f>
        <v>0</v>
      </c>
      <c r="I64">
        <f>'3. Frail population'!I51</f>
        <v>0</v>
      </c>
      <c r="J64">
        <f>'3. Frail population'!J51</f>
        <v>0</v>
      </c>
      <c r="K64">
        <f>'3. Frail population'!K51</f>
        <v>0</v>
      </c>
      <c r="L64">
        <f>'3. Frail population'!L51</f>
        <v>0</v>
      </c>
      <c r="M64">
        <f>'3. Frail population'!M51</f>
        <v>0</v>
      </c>
      <c r="N64">
        <f>'3. Frail population'!N51</f>
        <v>0</v>
      </c>
      <c r="O64">
        <f>'3. Frail population'!O51</f>
        <v>0</v>
      </c>
      <c r="P64">
        <f>'3. Frail population'!P51</f>
        <v>0</v>
      </c>
      <c r="Q64">
        <f>'3. Frail population'!Q51</f>
        <v>0</v>
      </c>
      <c r="R64">
        <f>'3. Frail population'!R51</f>
        <v>0</v>
      </c>
      <c r="S64">
        <f>'3. Frail population'!S51</f>
        <v>0</v>
      </c>
      <c r="T64">
        <f>'3. Frail population'!T51</f>
        <v>0</v>
      </c>
      <c r="U64">
        <f>'3. Frail population'!U51</f>
        <v>0</v>
      </c>
      <c r="V64">
        <f>'3. Frail population'!V51</f>
        <v>0</v>
      </c>
      <c r="W64">
        <f>'3. Frail population'!W51</f>
        <v>0</v>
      </c>
      <c r="X64">
        <f>'3. Frail population'!X51</f>
        <v>0</v>
      </c>
      <c r="Y64">
        <f>'3. Frail population'!Y51</f>
        <v>0</v>
      </c>
      <c r="Z64">
        <f>'3. Frail population'!Z51</f>
        <v>0</v>
      </c>
      <c r="AA64">
        <f>'3. Frail population'!AA51</f>
        <v>0</v>
      </c>
      <c r="AB64">
        <f>'3. Frail population'!AB51</f>
        <v>0</v>
      </c>
      <c r="AC64">
        <f>'3. Frail population'!AC51</f>
        <v>0</v>
      </c>
      <c r="AD64">
        <f>'3. Frail population'!AD51</f>
        <v>0</v>
      </c>
      <c r="AE64">
        <f>'3. Frail population'!AE51</f>
        <v>0</v>
      </c>
      <c r="AF64">
        <f>'3. Frail population'!AF51</f>
        <v>0</v>
      </c>
      <c r="AG64">
        <f>'3. Frail population'!AG51</f>
        <v>0</v>
      </c>
      <c r="AH64">
        <f>'3. Frail population'!AH51</f>
        <v>0</v>
      </c>
      <c r="AI64">
        <f>'3. Frail population'!AI51</f>
        <v>0</v>
      </c>
      <c r="AJ64">
        <f>'3. Frail population'!AJ51</f>
        <v>0</v>
      </c>
      <c r="AK64">
        <f>'3. Frail population'!AK51</f>
        <v>0</v>
      </c>
      <c r="AL64">
        <f>'3. Frail population'!AL51</f>
        <v>0</v>
      </c>
      <c r="AM64">
        <f>'3. Frail population'!AM51</f>
        <v>0</v>
      </c>
      <c r="AN64">
        <f>'3. Frail population'!AN51</f>
        <v>0</v>
      </c>
      <c r="AO64">
        <f>'3. Frail population'!AO51</f>
        <v>0</v>
      </c>
      <c r="AP64">
        <f>'3. Frail population'!AP51</f>
        <v>0</v>
      </c>
      <c r="AQ64">
        <f>'3. Frail population'!AQ51</f>
        <v>0</v>
      </c>
      <c r="AR64">
        <f>'3. Frail population'!AR51</f>
        <v>0</v>
      </c>
      <c r="AS64">
        <f>'3. Frail population'!AS51</f>
        <v>0</v>
      </c>
      <c r="AT64">
        <f>'3. Frail population'!AT51</f>
        <v>0</v>
      </c>
      <c r="AU64">
        <f>'3. Frail population'!AU51</f>
        <v>0</v>
      </c>
      <c r="AV64">
        <f>'3. Frail population'!AV51</f>
        <v>0</v>
      </c>
      <c r="AW64">
        <f>'3. Frail population'!AW51</f>
        <v>0</v>
      </c>
      <c r="AX64">
        <f>'3. Frail population'!AX51</f>
        <v>0</v>
      </c>
      <c r="AY64">
        <f>'3. Frail population'!AY51</f>
        <v>0</v>
      </c>
      <c r="AZ64">
        <f>'3. Frail population'!AZ51</f>
        <v>0</v>
      </c>
      <c r="BA64">
        <f>'3. Frail population'!BA51</f>
        <v>2.2167524053607335E-2</v>
      </c>
      <c r="BB64">
        <f>'3. Frail population'!BB51</f>
        <v>2.3622022798676978E-2</v>
      </c>
      <c r="BC64">
        <f>'3. Frail population'!BC51</f>
        <v>2.5165314098707703E-2</v>
      </c>
      <c r="BD64">
        <f>'3. Frail population'!BD51</f>
        <v>2.6801955289488477E-2</v>
      </c>
      <c r="BE64">
        <f>'3. Frail population'!BE51</f>
        <v>2.8536628195250491E-2</v>
      </c>
      <c r="BF64">
        <f>'3. Frail population'!BF51</f>
        <v>3.0374128211383411E-2</v>
      </c>
      <c r="BG64">
        <f>'3. Frail population'!BG51</f>
        <v>3.2319351241592909E-2</v>
      </c>
      <c r="BH64">
        <f>'3. Frail population'!BH51</f>
        <v>3.4377278355408381E-2</v>
      </c>
      <c r="BI64">
        <f>'3. Frail population'!BI51</f>
        <v>3.6552958048480244E-2</v>
      </c>
      <c r="BJ64">
        <f>'3. Frail population'!BJ51</f>
        <v>3.8851486010051173E-2</v>
      </c>
      <c r="BK64">
        <f>'3. Frail population'!BK51</f>
        <v>4.1277982329793739E-2</v>
      </c>
      <c r="BL64">
        <f>'3. Frail population'!BL51</f>
        <v>4.3837566110181858E-2</v>
      </c>
      <c r="BM64">
        <f>'3. Frail population'!BM51</f>
        <v>4.6535327490870637E-2</v>
      </c>
      <c r="BN64">
        <f>'3. Frail population'!BN51</f>
        <v>4.9376297138153502E-2</v>
      </c>
      <c r="BO64">
        <f>'3. Frail population'!BO51</f>
        <v>5.2365413305161979E-2</v>
      </c>
      <c r="BP64">
        <f>'3. Frail population'!BP51</f>
        <v>5.5507486626506397E-2</v>
      </c>
      <c r="BQ64">
        <f>'3. Frail population'!BQ51</f>
        <v>5.8807162873635299E-2</v>
      </c>
      <c r="BR64">
        <f>'3. Frail population'!BR51</f>
        <v>6.2268883963099153E-2</v>
      </c>
      <c r="BS64">
        <f>'3. Frail population'!BS51</f>
        <v>6.589684757755343E-2</v>
      </c>
      <c r="BT64">
        <f>'3. Frail population'!BT51</f>
        <v>6.9694965826828326E-2</v>
      </c>
      <c r="BU64">
        <f>'3. Frail population'!BU51</f>
        <v>7.3666823441492002E-2</v>
      </c>
      <c r="BV64">
        <f>'3. Frail population'!BV51</f>
        <v>7.7815636051565495E-2</v>
      </c>
      <c r="BW64">
        <f>'3. Frail population'!BW51</f>
        <v>8.2144209155775028E-2</v>
      </c>
      <c r="BX64">
        <f>'3. Frail population'!BX51</f>
        <v>8.665489842922447E-2</v>
      </c>
      <c r="BY64">
        <f>'3. Frail population'!BY51</f>
        <v>9.134957204700167E-2</v>
      </c>
      <c r="BZ64">
        <f>'3. Frail population'!BZ51</f>
        <v>9.622957571555768E-2</v>
      </c>
      <c r="CA64">
        <f>'3. Frail population'!CA51</f>
        <v>0.10129570110064012</v>
      </c>
      <c r="CB64">
        <f>'3. Frail population'!CB51</f>
        <v>0.10654815831859143</v>
      </c>
      <c r="CC64">
        <f>'3. Frail population'!CC51</f>
        <v>0.11198655311601802</v>
      </c>
      <c r="CD64">
        <f>'3. Frail population'!CD51</f>
        <v>0.11760986930111916</v>
      </c>
      <c r="CE64">
        <f>'3. Frail population'!CE51</f>
        <v>0.123416456909063</v>
      </c>
      <c r="CF64">
        <f>'3. Frail population'!CF51</f>
        <v>0.12940402648536053</v>
      </c>
      <c r="CG64">
        <f>'3. Frail population'!CG51</f>
        <v>0.13556964975772778</v>
      </c>
      <c r="CH64">
        <f>'3. Frail population'!CH51</f>
        <v>0.14190976684176104</v>
      </c>
      <c r="CI64">
        <f>'3. Frail population'!CI51</f>
        <v>0.14842019999284328</v>
      </c>
      <c r="CJ64">
        <f>'3. Frail population'!CJ51</f>
        <v>0.15509617378051233</v>
      </c>
      <c r="CK64">
        <f>'3. Frail population'!CK51</f>
        <v>0.15509617378051233</v>
      </c>
      <c r="CL64">
        <f>'3. Frail population'!CL51</f>
        <v>0.15509617378051233</v>
      </c>
      <c r="CM64">
        <f>'3. Frail population'!CM51</f>
        <v>0.15509617378051233</v>
      </c>
      <c r="CN64">
        <f>'3. Frail population'!CN51</f>
        <v>0.15509617378051233</v>
      </c>
      <c r="CO64">
        <f>'3. Frail population'!CO51</f>
        <v>0.15509617378051233</v>
      </c>
      <c r="CP64">
        <f>'3. Frail population'!CP51</f>
        <v>0.15509617378051233</v>
      </c>
      <c r="CQ64">
        <f>'3. Frail population'!CQ51</f>
        <v>0.15509617378051233</v>
      </c>
      <c r="CR64">
        <f>'3. Frail population'!CR51</f>
        <v>0.15509617378051233</v>
      </c>
      <c r="CS64">
        <f>'3. Frail population'!CS51</f>
        <v>0.15509617378051233</v>
      </c>
      <c r="CT64">
        <f>'3. Frail population'!CT51</f>
        <v>0.15509617378051233</v>
      </c>
      <c r="CU64">
        <f>'3. Frail population'!CU51</f>
        <v>0.15509617378051233</v>
      </c>
      <c r="CV64">
        <f>'3. Frail population'!CV51</f>
        <v>0.15509617378051233</v>
      </c>
      <c r="CW64">
        <f>'3. Frail population'!CW51</f>
        <v>0.15509617378051233</v>
      </c>
      <c r="CX64">
        <f>'3. Frail population'!CX51</f>
        <v>0.15509617378051233</v>
      </c>
      <c r="CY64">
        <f>'3. Frail population'!CY51</f>
        <v>0.15509617378051233</v>
      </c>
    </row>
    <row r="65" spans="1:103" x14ac:dyDescent="0.45">
      <c r="A65" t="str">
        <f>'3. Frail population'!A52</f>
        <v>Frail Population.raw incidence rate pre-frail to frail[female, age]</v>
      </c>
      <c r="B65">
        <f>'3. Frail population'!B52</f>
        <v>0</v>
      </c>
      <c r="C65">
        <f>'3. Frail population'!C52</f>
        <v>0</v>
      </c>
      <c r="D65">
        <f>'3. Frail population'!D52</f>
        <v>0</v>
      </c>
      <c r="E65">
        <f>'3. Frail population'!E52</f>
        <v>0</v>
      </c>
      <c r="F65">
        <f>'3. Frail population'!F52</f>
        <v>0</v>
      </c>
      <c r="G65">
        <f>'3. Frail population'!G52</f>
        <v>0</v>
      </c>
      <c r="H65">
        <f>'3. Frail population'!H52</f>
        <v>0</v>
      </c>
      <c r="I65">
        <f>'3. Frail population'!I52</f>
        <v>0</v>
      </c>
      <c r="J65">
        <f>'3. Frail population'!J52</f>
        <v>0</v>
      </c>
      <c r="K65">
        <f>'3. Frail population'!K52</f>
        <v>0</v>
      </c>
      <c r="L65">
        <f>'3. Frail population'!L52</f>
        <v>0</v>
      </c>
      <c r="M65">
        <f>'3. Frail population'!M52</f>
        <v>0</v>
      </c>
      <c r="N65">
        <f>'3. Frail population'!N52</f>
        <v>0</v>
      </c>
      <c r="O65">
        <f>'3. Frail population'!O52</f>
        <v>0</v>
      </c>
      <c r="P65">
        <f>'3. Frail population'!P52</f>
        <v>0</v>
      </c>
      <c r="Q65">
        <f>'3. Frail population'!Q52</f>
        <v>0</v>
      </c>
      <c r="R65">
        <f>'3. Frail population'!R52</f>
        <v>0</v>
      </c>
      <c r="S65">
        <f>'3. Frail population'!S52</f>
        <v>0</v>
      </c>
      <c r="T65">
        <f>'3. Frail population'!T52</f>
        <v>0</v>
      </c>
      <c r="U65">
        <f>'3. Frail population'!U52</f>
        <v>0</v>
      </c>
      <c r="V65">
        <f>'3. Frail population'!V52</f>
        <v>0</v>
      </c>
      <c r="W65">
        <f>'3. Frail population'!W52</f>
        <v>0</v>
      </c>
      <c r="X65">
        <f>'3. Frail population'!X52</f>
        <v>0</v>
      </c>
      <c r="Y65">
        <f>'3. Frail population'!Y52</f>
        <v>0</v>
      </c>
      <c r="Z65">
        <f>'3. Frail population'!Z52</f>
        <v>0</v>
      </c>
      <c r="AA65">
        <f>'3. Frail population'!AA52</f>
        <v>0</v>
      </c>
      <c r="AB65">
        <f>'3. Frail population'!AB52</f>
        <v>0</v>
      </c>
      <c r="AC65">
        <f>'3. Frail population'!AC52</f>
        <v>0</v>
      </c>
      <c r="AD65">
        <f>'3. Frail population'!AD52</f>
        <v>0</v>
      </c>
      <c r="AE65">
        <f>'3. Frail population'!AE52</f>
        <v>0</v>
      </c>
      <c r="AF65">
        <f>'3. Frail population'!AF52</f>
        <v>0</v>
      </c>
      <c r="AG65">
        <f>'3. Frail population'!AG52</f>
        <v>0</v>
      </c>
      <c r="AH65">
        <f>'3. Frail population'!AH52</f>
        <v>0</v>
      </c>
      <c r="AI65">
        <f>'3. Frail population'!AI52</f>
        <v>0</v>
      </c>
      <c r="AJ65">
        <f>'3. Frail population'!AJ52</f>
        <v>0</v>
      </c>
      <c r="AK65">
        <f>'3. Frail population'!AK52</f>
        <v>0</v>
      </c>
      <c r="AL65">
        <f>'3. Frail population'!AL52</f>
        <v>0</v>
      </c>
      <c r="AM65">
        <f>'3. Frail population'!AM52</f>
        <v>0</v>
      </c>
      <c r="AN65">
        <f>'3. Frail population'!AN52</f>
        <v>0</v>
      </c>
      <c r="AO65">
        <f>'3. Frail population'!AO52</f>
        <v>0</v>
      </c>
      <c r="AP65">
        <f>'3. Frail population'!AP52</f>
        <v>0</v>
      </c>
      <c r="AQ65">
        <f>'3. Frail population'!AQ52</f>
        <v>0</v>
      </c>
      <c r="AR65">
        <f>'3. Frail population'!AR52</f>
        <v>0</v>
      </c>
      <c r="AS65">
        <f>'3. Frail population'!AS52</f>
        <v>0</v>
      </c>
      <c r="AT65">
        <f>'3. Frail population'!AT52</f>
        <v>0</v>
      </c>
      <c r="AU65">
        <f>'3. Frail population'!AU52</f>
        <v>0</v>
      </c>
      <c r="AV65">
        <f>'3. Frail population'!AV52</f>
        <v>0</v>
      </c>
      <c r="AW65">
        <f>'3. Frail population'!AW52</f>
        <v>0</v>
      </c>
      <c r="AX65">
        <f>'3. Frail population'!AX52</f>
        <v>0</v>
      </c>
      <c r="AY65">
        <f>'3. Frail population'!AY52</f>
        <v>0</v>
      </c>
      <c r="AZ65">
        <f>'3. Frail population'!AZ52</f>
        <v>0</v>
      </c>
      <c r="BA65">
        <f>'3. Frail population'!BA52</f>
        <v>2.0286957208614731E-2</v>
      </c>
      <c r="BB65">
        <f>'3. Frail population'!BB52</f>
        <v>2.1625475076071266E-2</v>
      </c>
      <c r="BC65">
        <f>'3. Frail population'!BC52</f>
        <v>2.3046680521072727E-2</v>
      </c>
      <c r="BD65">
        <f>'3. Frail population'!BD52</f>
        <v>2.4554943644903071E-2</v>
      </c>
      <c r="BE65">
        <f>'3. Frail population'!BE52</f>
        <v>2.6154770912279468E-2</v>
      </c>
      <c r="BF65">
        <f>'3. Frail population'!BF52</f>
        <v>2.7850796969845382E-2</v>
      </c>
      <c r="BG65">
        <f>'3. Frail population'!BG52</f>
        <v>2.9647774523585357E-2</v>
      </c>
      <c r="BH65">
        <f>'3. Frail population'!BH52</f>
        <v>3.1550562126154258E-2</v>
      </c>
      <c r="BI65">
        <f>'3. Frail population'!BI52</f>
        <v>3.3564109734968262E-2</v>
      </c>
      <c r="BJ65">
        <f>'3. Frail population'!BJ52</f>
        <v>3.569344191645607E-2</v>
      </c>
      <c r="BK65">
        <f>'3. Frail population'!BK52</f>
        <v>3.7943638591657392E-2</v>
      </c>
      <c r="BL65">
        <f>'3. Frail population'!BL52</f>
        <v>4.0319813243836933E-2</v>
      </c>
      <c r="BM65">
        <f>'3. Frail population'!BM52</f>
        <v>4.2827088540338565E-2</v>
      </c>
      <c r="BN65">
        <f>'3. Frail population'!BN52</f>
        <v>4.5470569358739055E-2</v>
      </c>
      <c r="BO65">
        <f>'3. Frail population'!BO52</f>
        <v>4.8255313251537202E-2</v>
      </c>
      <c r="BP65">
        <f>'3. Frail population'!BP52</f>
        <v>5.1186298433925193E-2</v>
      </c>
      <c r="BQ65">
        <f>'3. Frail population'!BQ52</f>
        <v>5.4268389435201403E-2</v>
      </c>
      <c r="BR65">
        <f>'3. Frail population'!BR52</f>
        <v>5.7506300615321582E-2</v>
      </c>
      <c r="BS65">
        <f>'3. Frail population'!BS52</f>
        <v>6.0904557812866855E-2</v>
      </c>
      <c r="BT65">
        <f>'3. Frail population'!BT52</f>
        <v>6.4467458457890814E-2</v>
      </c>
      <c r="BU65">
        <f>'3. Frail population'!BU52</f>
        <v>6.8199030550911366E-2</v>
      </c>
      <c r="BV65">
        <f>'3. Frail population'!BV52</f>
        <v>7.2102990975617343E-2</v>
      </c>
      <c r="BW65">
        <f>'3. Frail population'!BW52</f>
        <v>7.6182703675295893E-2</v>
      </c>
      <c r="BX65">
        <f>'3. Frail population'!BX52</f>
        <v>8.0441138278948277E-2</v>
      </c>
      <c r="BY65">
        <f>'3. Frail population'!BY52</f>
        <v>8.4880829809853009E-2</v>
      </c>
      <c r="BZ65">
        <f>'3. Frail population'!BZ52</f>
        <v>8.9503840144270375E-2</v>
      </c>
      <c r="CA65">
        <f>'3. Frail population'!CA52</f>
        <v>9.4311721908520885E-2</v>
      </c>
      <c r="CB65">
        <f>'3. Frail population'!CB52</f>
        <v>9.9305485506585023E-2</v>
      </c>
      <c r="CC65">
        <f>'3. Frail population'!CC52</f>
        <v>0.10448556995589064</v>
      </c>
      <c r="CD65">
        <f>'3. Frail population'!CD52</f>
        <v>0.10985181817491119</v>
      </c>
      <c r="CE65">
        <f>'3. Frail population'!CE52</f>
        <v>0.11540345731218182</v>
      </c>
      <c r="CF65">
        <f>'3. Frail population'!CF52</f>
        <v>0.12113908463274015</v>
      </c>
      <c r="CG65">
        <f>'3. Frail population'!CG52</f>
        <v>0.12705665938612387</v>
      </c>
      <c r="CH65">
        <f>'3. Frail population'!CH52</f>
        <v>0.13315350097208345</v>
      </c>
      <c r="CI65">
        <f>'3. Frail population'!CI52</f>
        <v>0.13942629359910796</v>
      </c>
      <c r="CJ65">
        <f>'3. Frail population'!CJ52</f>
        <v>0.14587109750045635</v>
      </c>
      <c r="CK65">
        <f>'3. Frail population'!CK52</f>
        <v>0.14587109750045635</v>
      </c>
      <c r="CL65">
        <f>'3. Frail population'!CL52</f>
        <v>0.14587109750045635</v>
      </c>
      <c r="CM65">
        <f>'3. Frail population'!CM52</f>
        <v>0.14587109750045635</v>
      </c>
      <c r="CN65">
        <f>'3. Frail population'!CN52</f>
        <v>0.14587109750045635</v>
      </c>
      <c r="CO65">
        <f>'3. Frail population'!CO52</f>
        <v>0.14587109750045635</v>
      </c>
      <c r="CP65">
        <f>'3. Frail population'!CP52</f>
        <v>0.14587109750045635</v>
      </c>
      <c r="CQ65">
        <f>'3. Frail population'!CQ52</f>
        <v>0.14587109750045635</v>
      </c>
      <c r="CR65">
        <f>'3. Frail population'!CR52</f>
        <v>0.14587109750045635</v>
      </c>
      <c r="CS65">
        <f>'3. Frail population'!CS52</f>
        <v>0.14587109750045635</v>
      </c>
      <c r="CT65">
        <f>'3. Frail population'!CT52</f>
        <v>0.14587109750045635</v>
      </c>
      <c r="CU65">
        <f>'3. Frail population'!CU52</f>
        <v>0.14587109750045635</v>
      </c>
      <c r="CV65">
        <f>'3. Frail population'!CV52</f>
        <v>0.14587109750045635</v>
      </c>
      <c r="CW65">
        <f>'3. Frail population'!CW52</f>
        <v>0.14587109750045635</v>
      </c>
      <c r="CX65">
        <f>'3. Frail population'!CX52</f>
        <v>0.14587109750045635</v>
      </c>
      <c r="CY65">
        <f>'3. Frail population'!CY52</f>
        <v>0.14587109750045635</v>
      </c>
    </row>
    <row r="66" spans="1:103" x14ac:dyDescent="0.45">
      <c r="A66" t="str">
        <f>'3. Frail population'!A53</f>
        <v>Frail Population.raw incidence rate robust to pre-frail[male, age]</v>
      </c>
      <c r="B66">
        <f>'3. Frail population'!B53</f>
        <v>0</v>
      </c>
      <c r="C66">
        <f>'3. Frail population'!C53</f>
        <v>0</v>
      </c>
      <c r="D66">
        <f>'3. Frail population'!D53</f>
        <v>0</v>
      </c>
      <c r="E66">
        <f>'3. Frail population'!E53</f>
        <v>0</v>
      </c>
      <c r="F66">
        <f>'3. Frail population'!F53</f>
        <v>0</v>
      </c>
      <c r="G66">
        <f>'3. Frail population'!G53</f>
        <v>0</v>
      </c>
      <c r="H66">
        <f>'3. Frail population'!H53</f>
        <v>0</v>
      </c>
      <c r="I66">
        <f>'3. Frail population'!I53</f>
        <v>0</v>
      </c>
      <c r="J66">
        <f>'3. Frail population'!J53</f>
        <v>0</v>
      </c>
      <c r="K66">
        <f>'3. Frail population'!K53</f>
        <v>0</v>
      </c>
      <c r="L66">
        <f>'3. Frail population'!L53</f>
        <v>0</v>
      </c>
      <c r="M66">
        <f>'3. Frail population'!M53</f>
        <v>0</v>
      </c>
      <c r="N66">
        <f>'3. Frail population'!N53</f>
        <v>0</v>
      </c>
      <c r="O66">
        <f>'3. Frail population'!O53</f>
        <v>0</v>
      </c>
      <c r="P66">
        <f>'3. Frail population'!P53</f>
        <v>0</v>
      </c>
      <c r="Q66">
        <f>'3. Frail population'!Q53</f>
        <v>0</v>
      </c>
      <c r="R66">
        <f>'3. Frail population'!R53</f>
        <v>0</v>
      </c>
      <c r="S66">
        <f>'3. Frail population'!S53</f>
        <v>0</v>
      </c>
      <c r="T66">
        <f>'3. Frail population'!T53</f>
        <v>0</v>
      </c>
      <c r="U66">
        <f>'3. Frail population'!U53</f>
        <v>0</v>
      </c>
      <c r="V66">
        <f>'3. Frail population'!V53</f>
        <v>0</v>
      </c>
      <c r="W66">
        <f>'3. Frail population'!W53</f>
        <v>0</v>
      </c>
      <c r="X66">
        <f>'3. Frail population'!X53</f>
        <v>0</v>
      </c>
      <c r="Y66">
        <f>'3. Frail population'!Y53</f>
        <v>0</v>
      </c>
      <c r="Z66">
        <f>'3. Frail population'!Z53</f>
        <v>0</v>
      </c>
      <c r="AA66">
        <f>'3. Frail population'!AA53</f>
        <v>0</v>
      </c>
      <c r="AB66">
        <f>'3. Frail population'!AB53</f>
        <v>0</v>
      </c>
      <c r="AC66">
        <f>'3. Frail population'!AC53</f>
        <v>0</v>
      </c>
      <c r="AD66">
        <f>'3. Frail population'!AD53</f>
        <v>0</v>
      </c>
      <c r="AE66">
        <f>'3. Frail population'!AE53</f>
        <v>0</v>
      </c>
      <c r="AF66">
        <f>'3. Frail population'!AF53</f>
        <v>0</v>
      </c>
      <c r="AG66">
        <f>'3. Frail population'!AG53</f>
        <v>0</v>
      </c>
      <c r="AH66">
        <f>'3. Frail population'!AH53</f>
        <v>0</v>
      </c>
      <c r="AI66">
        <f>'3. Frail population'!AI53</f>
        <v>0</v>
      </c>
      <c r="AJ66">
        <f>'3. Frail population'!AJ53</f>
        <v>0</v>
      </c>
      <c r="AK66">
        <f>'3. Frail population'!AK53</f>
        <v>0</v>
      </c>
      <c r="AL66">
        <f>'3. Frail population'!AL53</f>
        <v>0</v>
      </c>
      <c r="AM66">
        <f>'3. Frail population'!AM53</f>
        <v>0</v>
      </c>
      <c r="AN66">
        <f>'3. Frail population'!AN53</f>
        <v>0</v>
      </c>
      <c r="AO66">
        <f>'3. Frail population'!AO53</f>
        <v>0</v>
      </c>
      <c r="AP66">
        <f>'3. Frail population'!AP53</f>
        <v>0</v>
      </c>
      <c r="AQ66">
        <f>'3. Frail population'!AQ53</f>
        <v>0</v>
      </c>
      <c r="AR66">
        <f>'3. Frail population'!AR53</f>
        <v>0</v>
      </c>
      <c r="AS66">
        <f>'3. Frail population'!AS53</f>
        <v>0</v>
      </c>
      <c r="AT66">
        <f>'3. Frail population'!AT53</f>
        <v>0</v>
      </c>
      <c r="AU66">
        <f>'3. Frail population'!AU53</f>
        <v>0</v>
      </c>
      <c r="AV66">
        <f>'3. Frail population'!AV53</f>
        <v>0</v>
      </c>
      <c r="AW66">
        <f>'3. Frail population'!AW53</f>
        <v>0</v>
      </c>
      <c r="AX66">
        <f>'3. Frail population'!AX53</f>
        <v>0</v>
      </c>
      <c r="AY66">
        <f>'3. Frail population'!AY53</f>
        <v>0</v>
      </c>
      <c r="AZ66">
        <f>'3. Frail population'!AZ53</f>
        <v>0</v>
      </c>
      <c r="BA66">
        <f>'3. Frail population'!BA53</f>
        <v>5.1031205043579275E-2</v>
      </c>
      <c r="BB66">
        <f>'3. Frail population'!BB53</f>
        <v>5.406494688711061E-2</v>
      </c>
      <c r="BC66">
        <f>'3. Frail population'!BC53</f>
        <v>5.7247801082786598E-2</v>
      </c>
      <c r="BD66">
        <f>'3. Frail population'!BD53</f>
        <v>6.0583664975911389E-2</v>
      </c>
      <c r="BE66">
        <f>'3. Frail population'!BE53</f>
        <v>6.4076180376747782E-2</v>
      </c>
      <c r="BF66">
        <f>'3. Frail population'!BF53</f>
        <v>6.7728695962769203E-2</v>
      </c>
      <c r="BG66">
        <f>'3. Frail population'!BG53</f>
        <v>7.1544229786425051E-2</v>
      </c>
      <c r="BH66">
        <f>'3. Frail population'!BH53</f>
        <v>7.5525432431415629E-2</v>
      </c>
      <c r="BI66">
        <f>'3. Frail population'!BI53</f>
        <v>7.9674551396859639E-2</v>
      </c>
      <c r="BJ66">
        <f>'3. Frail population'!BJ53</f>
        <v>8.3993397313416041E-2</v>
      </c>
      <c r="BK66">
        <f>'3. Frail population'!BK53</f>
        <v>8.8483312606290165E-2</v>
      </c>
      <c r="BL66">
        <f>'3. Frail population'!BL53</f>
        <v>9.3145143215352277E-2</v>
      </c>
      <c r="BM66">
        <f>'3. Frail population'!BM53</f>
        <v>9.7979213961050582E-2</v>
      </c>
      <c r="BN66">
        <f>'3. Frail population'!BN53</f>
        <v>0.10298530810573114</v>
      </c>
      <c r="BO66">
        <f>'3. Frail population'!BO53</f>
        <v>0.10816265160340965</v>
      </c>
      <c r="BP66">
        <f>'3. Frail population'!BP53</f>
        <v>0.11350990245774817</v>
      </c>
      <c r="BQ66">
        <f>'3. Frail population'!BQ53</f>
        <v>0.11902514551955434</v>
      </c>
      <c r="BR66">
        <f>'3. Frail population'!BR53</f>
        <v>0.1247058929538456</v>
      </c>
      <c r="BS66">
        <f>'3. Frail population'!BS53</f>
        <v>0.1305490904954193</v>
      </c>
      <c r="BT66">
        <f>'3. Frail population'!BT53</f>
        <v>0.13655112949449444</v>
      </c>
      <c r="BU66">
        <f>'3. Frail population'!BU53</f>
        <v>0.14270786463428153</v>
      </c>
      <c r="BV66">
        <f>'3. Frail population'!BV53</f>
        <v>0.14901463708444129</v>
      </c>
      <c r="BW66">
        <f>'3. Frail population'!BW53</f>
        <v>0.15546630274241902</v>
      </c>
      <c r="BX66">
        <f>'3. Frail population'!BX53</f>
        <v>0.16205726511247087</v>
      </c>
      <c r="BY66">
        <f>'3. Frail population'!BY53</f>
        <v>0.16878151228327332</v>
      </c>
      <c r="BZ66">
        <f>'3. Frail population'!BZ53</f>
        <v>0.17563265739214462</v>
      </c>
      <c r="CA66">
        <f>'3. Frail population'!CA53</f>
        <v>0.18260398190919336</v>
      </c>
      <c r="CB66">
        <f>'3. Frail population'!CB53</f>
        <v>0.18968848103939062</v>
      </c>
      <c r="CC66">
        <f>'3. Frail population'!CC53</f>
        <v>0.19687891052502282</v>
      </c>
      <c r="CD66">
        <f>'3. Frail population'!CD53</f>
        <v>0.20416783413478223</v>
      </c>
      <c r="CE66">
        <f>'3. Frail population'!CE53</f>
        <v>0.21154767114767437</v>
      </c>
      <c r="CF66">
        <f>'3. Frail population'!CF53</f>
        <v>0.21901074317810454</v>
      </c>
      <c r="CG66">
        <f>'3. Frail population'!CG53</f>
        <v>0.22654931974057257</v>
      </c>
      <c r="CH66">
        <f>'3. Frail population'!CH53</f>
        <v>0.23415566201562654</v>
      </c>
      <c r="CI66">
        <f>'3. Frail population'!CI53</f>
        <v>0.24182206435018783</v>
      </c>
      <c r="CJ66">
        <f>'3. Frail population'!CJ53</f>
        <v>0.24954089310209382</v>
      </c>
      <c r="CK66">
        <f>'3. Frail population'!CK53</f>
        <v>0.24954089310209382</v>
      </c>
      <c r="CL66">
        <f>'3. Frail population'!CL53</f>
        <v>0.24954089310209382</v>
      </c>
      <c r="CM66">
        <f>'3. Frail population'!CM53</f>
        <v>0.24954089310209382</v>
      </c>
      <c r="CN66">
        <f>'3. Frail population'!CN53</f>
        <v>0.24954089310209382</v>
      </c>
      <c r="CO66">
        <f>'3. Frail population'!CO53</f>
        <v>0.24954089310209382</v>
      </c>
      <c r="CP66">
        <f>'3. Frail population'!CP53</f>
        <v>0.24954089310209382</v>
      </c>
      <c r="CQ66">
        <f>'3. Frail population'!CQ53</f>
        <v>0.24954089310209382</v>
      </c>
      <c r="CR66">
        <f>'3. Frail population'!CR53</f>
        <v>0.24954089310209382</v>
      </c>
      <c r="CS66">
        <f>'3. Frail population'!CS53</f>
        <v>0.24954089310209382</v>
      </c>
      <c r="CT66">
        <f>'3. Frail population'!CT53</f>
        <v>0.24954089310209382</v>
      </c>
      <c r="CU66">
        <f>'3. Frail population'!CU53</f>
        <v>0.24954089310209382</v>
      </c>
      <c r="CV66">
        <f>'3. Frail population'!CV53</f>
        <v>0.24954089310209382</v>
      </c>
      <c r="CW66">
        <f>'3. Frail population'!CW53</f>
        <v>0.24954089310209382</v>
      </c>
      <c r="CX66">
        <f>'3. Frail population'!CX53</f>
        <v>0.24954089310209382</v>
      </c>
      <c r="CY66">
        <f>'3. Frail population'!CY53</f>
        <v>0.24954089310209382</v>
      </c>
    </row>
    <row r="67" spans="1:103" x14ac:dyDescent="0.45">
      <c r="A67" t="str">
        <f>'3. Frail population'!A54</f>
        <v>Frail Population.raw incidence rate robust to pre-frail[female, age]</v>
      </c>
      <c r="B67">
        <f>'3. Frail population'!B54</f>
        <v>0</v>
      </c>
      <c r="C67">
        <f>'3. Frail population'!C54</f>
        <v>0</v>
      </c>
      <c r="D67">
        <f>'3. Frail population'!D54</f>
        <v>0</v>
      </c>
      <c r="E67">
        <f>'3. Frail population'!E54</f>
        <v>0</v>
      </c>
      <c r="F67">
        <f>'3. Frail population'!F54</f>
        <v>0</v>
      </c>
      <c r="G67">
        <f>'3. Frail population'!G54</f>
        <v>0</v>
      </c>
      <c r="H67">
        <f>'3. Frail population'!H54</f>
        <v>0</v>
      </c>
      <c r="I67">
        <f>'3. Frail population'!I54</f>
        <v>0</v>
      </c>
      <c r="J67">
        <f>'3. Frail population'!J54</f>
        <v>0</v>
      </c>
      <c r="K67">
        <f>'3. Frail population'!K54</f>
        <v>0</v>
      </c>
      <c r="L67">
        <f>'3. Frail population'!L54</f>
        <v>0</v>
      </c>
      <c r="M67">
        <f>'3. Frail population'!M54</f>
        <v>0</v>
      </c>
      <c r="N67">
        <f>'3. Frail population'!N54</f>
        <v>0</v>
      </c>
      <c r="O67">
        <f>'3. Frail population'!O54</f>
        <v>0</v>
      </c>
      <c r="P67">
        <f>'3. Frail population'!P54</f>
        <v>0</v>
      </c>
      <c r="Q67">
        <f>'3. Frail population'!Q54</f>
        <v>0</v>
      </c>
      <c r="R67">
        <f>'3. Frail population'!R54</f>
        <v>0</v>
      </c>
      <c r="S67">
        <f>'3. Frail population'!S54</f>
        <v>0</v>
      </c>
      <c r="T67">
        <f>'3. Frail population'!T54</f>
        <v>0</v>
      </c>
      <c r="U67">
        <f>'3. Frail population'!U54</f>
        <v>0</v>
      </c>
      <c r="V67">
        <f>'3. Frail population'!V54</f>
        <v>0</v>
      </c>
      <c r="W67">
        <f>'3. Frail population'!W54</f>
        <v>0</v>
      </c>
      <c r="X67">
        <f>'3. Frail population'!X54</f>
        <v>0</v>
      </c>
      <c r="Y67">
        <f>'3. Frail population'!Y54</f>
        <v>0</v>
      </c>
      <c r="Z67">
        <f>'3. Frail population'!Z54</f>
        <v>0</v>
      </c>
      <c r="AA67">
        <f>'3. Frail population'!AA54</f>
        <v>0</v>
      </c>
      <c r="AB67">
        <f>'3. Frail population'!AB54</f>
        <v>0</v>
      </c>
      <c r="AC67">
        <f>'3. Frail population'!AC54</f>
        <v>0</v>
      </c>
      <c r="AD67">
        <f>'3. Frail population'!AD54</f>
        <v>0</v>
      </c>
      <c r="AE67">
        <f>'3. Frail population'!AE54</f>
        <v>0</v>
      </c>
      <c r="AF67">
        <f>'3. Frail population'!AF54</f>
        <v>0</v>
      </c>
      <c r="AG67">
        <f>'3. Frail population'!AG54</f>
        <v>0</v>
      </c>
      <c r="AH67">
        <f>'3. Frail population'!AH54</f>
        <v>0</v>
      </c>
      <c r="AI67">
        <f>'3. Frail population'!AI54</f>
        <v>0</v>
      </c>
      <c r="AJ67">
        <f>'3. Frail population'!AJ54</f>
        <v>0</v>
      </c>
      <c r="AK67">
        <f>'3. Frail population'!AK54</f>
        <v>0</v>
      </c>
      <c r="AL67">
        <f>'3. Frail population'!AL54</f>
        <v>0</v>
      </c>
      <c r="AM67">
        <f>'3. Frail population'!AM54</f>
        <v>0</v>
      </c>
      <c r="AN67">
        <f>'3. Frail population'!AN54</f>
        <v>0</v>
      </c>
      <c r="AO67">
        <f>'3. Frail population'!AO54</f>
        <v>0</v>
      </c>
      <c r="AP67">
        <f>'3. Frail population'!AP54</f>
        <v>0</v>
      </c>
      <c r="AQ67">
        <f>'3. Frail population'!AQ54</f>
        <v>0</v>
      </c>
      <c r="AR67">
        <f>'3. Frail population'!AR54</f>
        <v>0</v>
      </c>
      <c r="AS67">
        <f>'3. Frail population'!AS54</f>
        <v>0</v>
      </c>
      <c r="AT67">
        <f>'3. Frail population'!AT54</f>
        <v>0</v>
      </c>
      <c r="AU67">
        <f>'3. Frail population'!AU54</f>
        <v>0</v>
      </c>
      <c r="AV67">
        <f>'3. Frail population'!AV54</f>
        <v>0</v>
      </c>
      <c r="AW67">
        <f>'3. Frail population'!AW54</f>
        <v>0</v>
      </c>
      <c r="AX67">
        <f>'3. Frail population'!AX54</f>
        <v>0</v>
      </c>
      <c r="AY67">
        <f>'3. Frail population'!AY54</f>
        <v>0</v>
      </c>
      <c r="AZ67">
        <f>'3. Frail population'!AZ54</f>
        <v>0</v>
      </c>
      <c r="BA67">
        <f>'3. Frail population'!BA54</f>
        <v>4.70584318216416E-2</v>
      </c>
      <c r="BB67">
        <f>'3. Frail population'!BB54</f>
        <v>4.9891999108318097E-2</v>
      </c>
      <c r="BC67">
        <f>'3. Frail population'!BC54</f>
        <v>5.2868913184657584E-2</v>
      </c>
      <c r="BD67">
        <f>'3. Frail population'!BD54</f>
        <v>5.5993364672940027E-2</v>
      </c>
      <c r="BE67">
        <f>'3. Frail population'!BE54</f>
        <v>5.9269340117283464E-2</v>
      </c>
      <c r="BF67">
        <f>'3. Frail population'!BF54</f>
        <v>6.2700585052704816E-2</v>
      </c>
      <c r="BG67">
        <f>'3. Frail population'!BG54</f>
        <v>6.6290566503251602E-2</v>
      </c>
      <c r="BH67">
        <f>'3. Frail population'!BH54</f>
        <v>7.0042435386614699E-2</v>
      </c>
      <c r="BI67">
        <f>'3. Frail population'!BI54</f>
        <v>7.3958989351415094E-2</v>
      </c>
      <c r="BJ67">
        <f>'3. Frail population'!BJ54</f>
        <v>7.8042636613682492E-2</v>
      </c>
      <c r="BK67">
        <f>'3. Frail population'!BK54</f>
        <v>8.2295361388528665E-2</v>
      </c>
      <c r="BL67">
        <f>'3. Frail population'!BL54</f>
        <v>8.6718691529487746E-2</v>
      </c>
      <c r="BM67">
        <f>'3. Frail population'!BM54</f>
        <v>9.1313668989518426E-2</v>
      </c>
      <c r="BN67">
        <f>'3. Frail population'!BN54</f>
        <v>9.6080823702781037E-2</v>
      </c>
      <c r="BO67">
        <f>'3. Frail population'!BO54</f>
        <v>0.10102015145407583</v>
      </c>
      <c r="BP67">
        <f>'3. Frail population'!BP54</f>
        <v>0.1061310962530071</v>
      </c>
      <c r="BQ67">
        <f>'3. Frail population'!BQ54</f>
        <v>0.11141253766300341</v>
      </c>
      <c r="BR67">
        <f>'3. Frail population'!BR54</f>
        <v>0.11686278345253465</v>
      </c>
      <c r="BS67">
        <f>'3. Frail population'!BS54</f>
        <v>0.12247956783925651</v>
      </c>
      <c r="BT67">
        <f>'3. Frail population'!BT54</f>
        <v>0.12826005549013686</v>
      </c>
      <c r="BU67">
        <f>'3. Frail population'!BU54</f>
        <v>0.13420085132522686</v>
      </c>
      <c r="BV67">
        <f>'3. Frail population'!BV54</f>
        <v>0.14029801605345205</v>
      </c>
      <c r="BW67">
        <f>'3. Frail population'!BW54</f>
        <v>0.14654708724970433</v>
      </c>
      <c r="BX67">
        <f>'3. Frail population'!BX54</f>
        <v>0.15294310566776159</v>
      </c>
      <c r="BY67">
        <f>'3. Frail population'!BY54</f>
        <v>0.15948064637714621</v>
      </c>
      <c r="BZ67">
        <f>'3. Frail population'!BZ54</f>
        <v>0.16615385421759266</v>
      </c>
      <c r="CA67">
        <f>'3. Frail population'!CA54</f>
        <v>0.17295648298539557</v>
      </c>
      <c r="CB67">
        <f>'3. Frail population'!CB54</f>
        <v>0.17988193770395966</v>
      </c>
      <c r="CC67">
        <f>'3. Frail population'!CC54</f>
        <v>0.18692331928791672</v>
      </c>
      <c r="CD67">
        <f>'3. Frail population'!CD54</f>
        <v>0.19407347088696614</v>
      </c>
      <c r="CE67">
        <f>'3. Frail population'!CE54</f>
        <v>0.20132502519198514</v>
      </c>
      <c r="CF67">
        <f>'3. Frail population'!CF54</f>
        <v>0.20867045200102319</v>
      </c>
      <c r="CG67">
        <f>'3. Frail population'!CG54</f>
        <v>0.21610210537492169</v>
      </c>
      <c r="CH67">
        <f>'3. Frail population'!CH54</f>
        <v>0.2236122697592785</v>
      </c>
      <c r="CI67">
        <f>'3. Frail population'!CI54</f>
        <v>0.23119320450870973</v>
      </c>
      <c r="CJ67">
        <f>'3. Frail population'!CJ54</f>
        <v>0.23883718631796624</v>
      </c>
      <c r="CK67">
        <f>'3. Frail population'!CK54</f>
        <v>0.23883718631796624</v>
      </c>
      <c r="CL67">
        <f>'3. Frail population'!CL54</f>
        <v>0.23883718631796624</v>
      </c>
      <c r="CM67">
        <f>'3. Frail population'!CM54</f>
        <v>0.23883718631796624</v>
      </c>
      <c r="CN67">
        <f>'3. Frail population'!CN54</f>
        <v>0.23883718631796624</v>
      </c>
      <c r="CO67">
        <f>'3. Frail population'!CO54</f>
        <v>0.23883718631796624</v>
      </c>
      <c r="CP67">
        <f>'3. Frail population'!CP54</f>
        <v>0.23883718631796624</v>
      </c>
      <c r="CQ67">
        <f>'3. Frail population'!CQ54</f>
        <v>0.23883718631796624</v>
      </c>
      <c r="CR67">
        <f>'3. Frail population'!CR54</f>
        <v>0.23883718631796624</v>
      </c>
      <c r="CS67">
        <f>'3. Frail population'!CS54</f>
        <v>0.23883718631796624</v>
      </c>
      <c r="CT67">
        <f>'3. Frail population'!CT54</f>
        <v>0.23883718631796624</v>
      </c>
      <c r="CU67">
        <f>'3. Frail population'!CU54</f>
        <v>0.23883718631796624</v>
      </c>
      <c r="CV67">
        <f>'3. Frail population'!CV54</f>
        <v>0.23883718631796624</v>
      </c>
      <c r="CW67">
        <f>'3. Frail population'!CW54</f>
        <v>0.23883718631796624</v>
      </c>
      <c r="CX67">
        <f>'3. Frail population'!CX54</f>
        <v>0.23883718631796624</v>
      </c>
      <c r="CY67">
        <f>'3. Frail population'!CY54</f>
        <v>0.23883718631796624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BE21-47AD-4401-9533-55FCBE6BD710}">
  <sheetPr>
    <tabColor rgb="FFFF0000"/>
  </sheetPr>
  <dimension ref="A1:AP4"/>
  <sheetViews>
    <sheetView tabSelected="1" workbookViewId="0">
      <selection activeCell="A2" sqref="A2"/>
    </sheetView>
  </sheetViews>
  <sheetFormatPr defaultRowHeight="14.25" x14ac:dyDescent="0.45"/>
  <cols>
    <col min="1" max="1" width="45.33203125" bestFit="1" customWidth="1"/>
  </cols>
  <sheetData>
    <row r="1" spans="1:42" x14ac:dyDescent="0.45">
      <c r="A1" t="str">
        <f>'2 Resident Population'!A38</f>
        <v>Time</v>
      </c>
      <c r="B1">
        <f>'2 Resident Population'!B38</f>
        <v>2010</v>
      </c>
      <c r="C1">
        <f>'2 Resident Population'!C38</f>
        <v>2011</v>
      </c>
      <c r="D1">
        <f>'2 Resident Population'!D38</f>
        <v>2012</v>
      </c>
      <c r="E1">
        <f>'2 Resident Population'!E38</f>
        <v>2013</v>
      </c>
      <c r="F1">
        <f>'2 Resident Population'!F38</f>
        <v>2014</v>
      </c>
      <c r="G1">
        <f>'2 Resident Population'!G38</f>
        <v>2015</v>
      </c>
      <c r="H1">
        <f>'2 Resident Population'!H38</f>
        <v>2016</v>
      </c>
      <c r="I1">
        <f>'2 Resident Population'!I38</f>
        <v>2017</v>
      </c>
      <c r="J1">
        <f>'2 Resident Population'!J38</f>
        <v>2018</v>
      </c>
      <c r="K1">
        <f>'2 Resident Population'!K38</f>
        <v>2019</v>
      </c>
      <c r="L1">
        <f>'2 Resident Population'!L38</f>
        <v>2020</v>
      </c>
      <c r="M1">
        <f>'2 Resident Population'!M38</f>
        <v>2021</v>
      </c>
      <c r="N1">
        <f>'2 Resident Population'!N38</f>
        <v>2022</v>
      </c>
      <c r="O1">
        <f>'2 Resident Population'!O38</f>
        <v>2023</v>
      </c>
      <c r="P1">
        <f>'2 Resident Population'!P38</f>
        <v>2024</v>
      </c>
      <c r="Q1">
        <f>'2 Resident Population'!Q38</f>
        <v>2025</v>
      </c>
      <c r="R1">
        <f>'2 Resident Population'!R38</f>
        <v>2026</v>
      </c>
      <c r="S1">
        <f>'2 Resident Population'!S38</f>
        <v>2027</v>
      </c>
      <c r="T1">
        <f>'2 Resident Population'!T38</f>
        <v>2028</v>
      </c>
      <c r="U1">
        <f>'2 Resident Population'!U38</f>
        <v>2029</v>
      </c>
      <c r="V1">
        <f>'2 Resident Population'!V38</f>
        <v>2030</v>
      </c>
      <c r="W1">
        <f>'2 Resident Population'!W38</f>
        <v>2031</v>
      </c>
      <c r="X1">
        <f>'2 Resident Population'!X38</f>
        <v>2032</v>
      </c>
      <c r="Y1">
        <f>'2 Resident Population'!Y38</f>
        <v>2033</v>
      </c>
      <c r="Z1">
        <f>'2 Resident Population'!Z38</f>
        <v>2034</v>
      </c>
      <c r="AA1">
        <f>'2 Resident Population'!AA38</f>
        <v>2035</v>
      </c>
      <c r="AB1">
        <f>'2 Resident Population'!AB38</f>
        <v>2036</v>
      </c>
      <c r="AC1">
        <f>'2 Resident Population'!AC38</f>
        <v>2037</v>
      </c>
      <c r="AD1">
        <f>'2 Resident Population'!AD38</f>
        <v>2038</v>
      </c>
      <c r="AE1">
        <f>'2 Resident Population'!AE38</f>
        <v>2039</v>
      </c>
      <c r="AF1">
        <f>'2 Resident Population'!AF38</f>
        <v>2040</v>
      </c>
      <c r="AG1">
        <f>'2 Resident Population'!AG38</f>
        <v>2041</v>
      </c>
      <c r="AH1">
        <f>'2 Resident Population'!AH38</f>
        <v>2042</v>
      </c>
      <c r="AI1">
        <f>'2 Resident Population'!AI38</f>
        <v>2043</v>
      </c>
      <c r="AJ1">
        <f>'2 Resident Population'!AJ38</f>
        <v>2044</v>
      </c>
      <c r="AK1">
        <f>'2 Resident Population'!AK38</f>
        <v>2045</v>
      </c>
      <c r="AL1">
        <f>'2 Resident Population'!AL38</f>
        <v>2046</v>
      </c>
      <c r="AM1">
        <f>'2 Resident Population'!AM38</f>
        <v>2047</v>
      </c>
      <c r="AN1">
        <f>'2 Resident Population'!AN38</f>
        <v>2048</v>
      </c>
      <c r="AO1">
        <f>'2 Resident Population'!AO38</f>
        <v>2049</v>
      </c>
      <c r="AP1">
        <f>'2 Resident Population'!AP38</f>
        <v>2050</v>
      </c>
    </row>
    <row r="2" spans="1:42" x14ac:dyDescent="0.45">
      <c r="A2" t="str">
        <f>'2 Resident Population'!A39</f>
        <v>Resident Population.census total resident population</v>
      </c>
      <c r="B2">
        <f>'2 Resident Population'!B39</f>
        <v>3771721</v>
      </c>
      <c r="C2">
        <f>'2 Resident Population'!C39</f>
        <v>3789251</v>
      </c>
      <c r="D2">
        <f>'2 Resident Population'!D39</f>
        <v>3818205</v>
      </c>
      <c r="E2">
        <f>'2 Resident Population'!E39</f>
        <v>3844751</v>
      </c>
      <c r="F2">
        <f>'2 Resident Population'!F39</f>
        <v>3870739</v>
      </c>
      <c r="G2">
        <f>'2 Resident Population'!G39</f>
        <v>3902690</v>
      </c>
      <c r="H2">
        <f>'2 Resident Population'!H39</f>
        <v>3933559</v>
      </c>
      <c r="I2">
        <f>'2 Resident Population'!I39</f>
        <v>3965796</v>
      </c>
      <c r="J2">
        <f>'2 Resident Population'!J39</f>
        <v>3994283</v>
      </c>
      <c r="K2">
        <f>'2 Resident Population'!K39</f>
        <v>4026209</v>
      </c>
      <c r="L2">
        <f>'2 Resident Population'!L39</f>
        <v>4044210</v>
      </c>
      <c r="M2">
        <f>'2 Resident Population'!M39</f>
        <v>3986842</v>
      </c>
      <c r="N2">
        <f>'2 Resident Population'!N39</f>
        <v>4073239</v>
      </c>
      <c r="O2">
        <f>'2 Resident Population'!O39</f>
        <v>4149253</v>
      </c>
      <c r="P2">
        <f>'2 Resident Population'!P39</f>
        <v>4180868</v>
      </c>
      <c r="Q2">
        <f>'2 Resident Population'!Q39</f>
        <v>4204515</v>
      </c>
      <c r="R2">
        <f>'2 Resident Population'!R39</f>
        <v>4227250</v>
      </c>
      <c r="S2">
        <f>'2 Resident Population'!S39</f>
        <v>4249300</v>
      </c>
      <c r="T2">
        <f>'2 Resident Population'!T39</f>
        <v>4270650</v>
      </c>
      <c r="U2">
        <f>'2 Resident Population'!U39</f>
        <v>4290650</v>
      </c>
      <c r="V2">
        <f>'2 Resident Population'!V39</f>
        <v>4309450</v>
      </c>
      <c r="W2">
        <f>'2 Resident Population'!W39</f>
        <v>4327000</v>
      </c>
      <c r="X2">
        <f>'2 Resident Population'!X39</f>
        <v>4343050</v>
      </c>
      <c r="Y2">
        <f>'2 Resident Population'!Y39</f>
        <v>4358150</v>
      </c>
      <c r="Z2">
        <f>'2 Resident Population'!Z39</f>
        <v>4371600</v>
      </c>
      <c r="AA2">
        <f>'2 Resident Population'!AA39</f>
        <v>4383350</v>
      </c>
      <c r="AB2">
        <f>'2 Resident Population'!AB39</f>
        <v>4394250</v>
      </c>
      <c r="AC2">
        <f>'2 Resident Population'!AC39</f>
        <v>4403000</v>
      </c>
      <c r="AD2">
        <f>'2 Resident Population'!AD39</f>
        <v>4410700</v>
      </c>
      <c r="AE2">
        <f>'2 Resident Population'!AE39</f>
        <v>4417600</v>
      </c>
      <c r="AF2">
        <f>'2 Resident Population'!AF39</f>
        <v>4422600</v>
      </c>
      <c r="AG2">
        <v>0</v>
      </c>
      <c r="AH2">
        <v>0</v>
      </c>
      <c r="AI2">
        <f>'2 Resident Population'!AI39</f>
        <v>0</v>
      </c>
      <c r="AJ2">
        <f>'2 Resident Population'!AJ39</f>
        <v>0</v>
      </c>
      <c r="AK2">
        <f>'2 Resident Population'!AK39</f>
        <v>0</v>
      </c>
      <c r="AL2">
        <f>'2 Resident Population'!AL39</f>
        <v>0</v>
      </c>
      <c r="AM2">
        <f>'2 Resident Population'!AM39</f>
        <v>0</v>
      </c>
      <c r="AN2">
        <f>'2 Resident Population'!AN39</f>
        <v>0</v>
      </c>
      <c r="AO2">
        <f>'2 Resident Population'!AO39</f>
        <v>0</v>
      </c>
      <c r="AP2">
        <f>'2 Resident Population'!AP39</f>
        <v>0</v>
      </c>
    </row>
    <row r="3" spans="1:42" x14ac:dyDescent="0.45">
      <c r="A3" t="str">
        <f>'2 Resident Population'!A40</f>
        <v>Resident Population.census males per thousand females</v>
      </c>
      <c r="B3">
        <f>'2 Resident Population'!B40</f>
        <v>974</v>
      </c>
      <c r="C3">
        <f>'2 Resident Population'!C40</f>
        <v>972</v>
      </c>
      <c r="D3">
        <f>'2 Resident Population'!D40</f>
        <v>970</v>
      </c>
      <c r="E3">
        <f>'2 Resident Population'!E40</f>
        <v>968</v>
      </c>
      <c r="F3">
        <f>'2 Resident Population'!F40</f>
        <v>967</v>
      </c>
      <c r="G3">
        <f>'2 Resident Population'!G40</f>
        <v>965</v>
      </c>
      <c r="H3">
        <f>'2 Resident Population'!H40</f>
        <v>963</v>
      </c>
      <c r="I3">
        <f>'2 Resident Population'!I40</f>
        <v>961</v>
      </c>
      <c r="J3">
        <f>'2 Resident Population'!J40</f>
        <v>959</v>
      </c>
      <c r="K3">
        <f>'2 Resident Population'!K40</f>
        <v>957</v>
      </c>
      <c r="L3">
        <f>'2 Resident Population'!L40</f>
        <v>957</v>
      </c>
      <c r="M3">
        <f>'2 Resident Population'!M40</f>
        <v>960</v>
      </c>
      <c r="N3">
        <f>'2 Resident Population'!N40</f>
        <v>955</v>
      </c>
      <c r="O3">
        <f>'2 Resident Population'!O40</f>
        <v>950</v>
      </c>
      <c r="P3">
        <f>'2 Resident Population'!P40</f>
        <v>948</v>
      </c>
      <c r="Q3">
        <f>'2 Resident Population'!Q40</f>
        <v>947</v>
      </c>
      <c r="R3">
        <f>'2 Resident Population'!R40</f>
        <v>0</v>
      </c>
      <c r="S3">
        <f>'2 Resident Population'!S40</f>
        <v>0</v>
      </c>
      <c r="T3">
        <f>'2 Resident Population'!T40</f>
        <v>0</v>
      </c>
      <c r="U3">
        <f>'2 Resident Population'!U40</f>
        <v>0</v>
      </c>
      <c r="V3">
        <f>'2 Resident Population'!V40</f>
        <v>0</v>
      </c>
      <c r="W3">
        <f>'2 Resident Population'!W40</f>
        <v>0</v>
      </c>
      <c r="X3">
        <f>'2 Resident Population'!X40</f>
        <v>0</v>
      </c>
      <c r="Y3">
        <f>'2 Resident Population'!Y40</f>
        <v>0</v>
      </c>
      <c r="Z3">
        <f>'2 Resident Population'!Z40</f>
        <v>0</v>
      </c>
      <c r="AA3">
        <f>'2 Resident Population'!AA40</f>
        <v>0</v>
      </c>
      <c r="AB3">
        <f>'2 Resident Population'!AB40</f>
        <v>0</v>
      </c>
      <c r="AC3">
        <f>'2 Resident Population'!AC40</f>
        <v>0</v>
      </c>
      <c r="AD3">
        <f>'2 Resident Population'!AD40</f>
        <v>0</v>
      </c>
      <c r="AE3">
        <f>'2 Resident Population'!AE40</f>
        <v>0</v>
      </c>
      <c r="AF3">
        <f>'2 Resident Population'!AF40</f>
        <v>0</v>
      </c>
      <c r="AG3">
        <f>'2 Resident Population'!AG40</f>
        <v>0</v>
      </c>
      <c r="AH3">
        <f>'2 Resident Population'!AH40</f>
        <v>0</v>
      </c>
      <c r="AI3">
        <f>'2 Resident Population'!AI40</f>
        <v>0</v>
      </c>
      <c r="AJ3">
        <f>'2 Resident Population'!AJ40</f>
        <v>0</v>
      </c>
      <c r="AK3">
        <f>'2 Resident Population'!AK40</f>
        <v>0</v>
      </c>
      <c r="AL3">
        <f>'2 Resident Population'!AL40</f>
        <v>0</v>
      </c>
      <c r="AM3">
        <f>'2 Resident Population'!AM40</f>
        <v>0</v>
      </c>
      <c r="AN3">
        <f>'2 Resident Population'!AN40</f>
        <v>0</v>
      </c>
      <c r="AO3">
        <f>'2 Resident Population'!AO40</f>
        <v>0</v>
      </c>
      <c r="AP3">
        <f>'2 Resident Population'!AP40</f>
        <v>0</v>
      </c>
    </row>
    <row r="4" spans="1:42" x14ac:dyDescent="0.45">
      <c r="A4" t="str">
        <f>'2 Resident Population'!A41</f>
        <v>Resident Population.census OADR</v>
      </c>
      <c r="B4">
        <f>'2 Resident Population'!B41</f>
        <v>8.1999999999999993</v>
      </c>
      <c r="C4">
        <f>'2 Resident Population'!C41</f>
        <v>7.9</v>
      </c>
      <c r="D4">
        <f>'2 Resident Population'!D41</f>
        <v>7.4</v>
      </c>
      <c r="E4">
        <f>'2 Resident Population'!E41</f>
        <v>7</v>
      </c>
      <c r="F4">
        <f>'2 Resident Population'!F41</f>
        <v>6.6</v>
      </c>
      <c r="G4">
        <f>'2 Resident Population'!G41</f>
        <v>6.2</v>
      </c>
      <c r="H4">
        <f>'2 Resident Population'!H41</f>
        <v>5.8</v>
      </c>
      <c r="I4">
        <f>'2 Resident Population'!I41</f>
        <v>5.5</v>
      </c>
      <c r="J4">
        <f>'2 Resident Population'!J41</f>
        <v>5.2</v>
      </c>
      <c r="K4">
        <f>'2 Resident Population'!K41</f>
        <v>4.9000000000000004</v>
      </c>
      <c r="L4">
        <f>'2 Resident Population'!L41</f>
        <v>4.5999999999999996</v>
      </c>
      <c r="M4">
        <f>'2 Resident Population'!M41</f>
        <v>4.3</v>
      </c>
      <c r="N4">
        <f>'2 Resident Population'!N41</f>
        <v>4.0999999999999996</v>
      </c>
      <c r="O4">
        <f>'2 Resident Population'!O41</f>
        <v>4</v>
      </c>
      <c r="P4">
        <f>'2 Resident Population'!P41</f>
        <v>3.8</v>
      </c>
      <c r="Q4">
        <f>'2 Resident Population'!Q41</f>
        <v>3.6</v>
      </c>
      <c r="R4">
        <f>'2 Resident Population'!R41</f>
        <v>0</v>
      </c>
      <c r="S4">
        <f>'2 Resident Population'!S41</f>
        <v>0</v>
      </c>
      <c r="T4">
        <f>'2 Resident Population'!T41</f>
        <v>0</v>
      </c>
      <c r="U4">
        <f>'2 Resident Population'!U41</f>
        <v>0</v>
      </c>
      <c r="V4">
        <f>'2 Resident Population'!V41</f>
        <v>0</v>
      </c>
      <c r="W4">
        <f>'2 Resident Population'!W41</f>
        <v>0</v>
      </c>
      <c r="X4">
        <f>'2 Resident Population'!X41</f>
        <v>0</v>
      </c>
      <c r="Y4">
        <f>'2 Resident Population'!Y41</f>
        <v>0</v>
      </c>
      <c r="Z4">
        <f>'2 Resident Population'!Z41</f>
        <v>0</v>
      </c>
      <c r="AA4">
        <f>'2 Resident Population'!AA41</f>
        <v>0</v>
      </c>
      <c r="AB4">
        <f>'2 Resident Population'!AB41</f>
        <v>0</v>
      </c>
      <c r="AC4">
        <f>'2 Resident Population'!AC41</f>
        <v>0</v>
      </c>
      <c r="AD4">
        <f>'2 Resident Population'!AD41</f>
        <v>0</v>
      </c>
      <c r="AE4">
        <f>'2 Resident Population'!AE41</f>
        <v>0</v>
      </c>
      <c r="AF4">
        <f>'2 Resident Population'!AF41</f>
        <v>0</v>
      </c>
      <c r="AG4">
        <f>'2 Resident Population'!AG41</f>
        <v>0</v>
      </c>
      <c r="AH4">
        <f>'2 Resident Population'!AH41</f>
        <v>0</v>
      </c>
      <c r="AI4">
        <f>'2 Resident Population'!AI41</f>
        <v>0</v>
      </c>
      <c r="AJ4">
        <f>'2 Resident Population'!AJ41</f>
        <v>0</v>
      </c>
      <c r="AK4">
        <f>'2 Resident Population'!AK41</f>
        <v>0</v>
      </c>
      <c r="AL4">
        <f>'2 Resident Population'!AL41</f>
        <v>0</v>
      </c>
      <c r="AM4">
        <f>'2 Resident Population'!AM41</f>
        <v>0</v>
      </c>
      <c r="AN4">
        <f>'2 Resident Population'!AN41</f>
        <v>0</v>
      </c>
      <c r="AO4">
        <f>'2 Resident Population'!AO41</f>
        <v>0</v>
      </c>
      <c r="AP4">
        <f>'2 Resident Population'!AP41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063B-547E-46D7-BC26-1C1FF0166A78}">
  <dimension ref="A1:GS41"/>
  <sheetViews>
    <sheetView topLeftCell="A23" workbookViewId="0">
      <selection activeCell="A39" sqref="A39"/>
    </sheetView>
  </sheetViews>
  <sheetFormatPr defaultRowHeight="14.25" x14ac:dyDescent="0.45"/>
  <cols>
    <col min="1" max="1" width="44.265625" bestFit="1" customWidth="1"/>
    <col min="2" max="2" width="11" customWidth="1"/>
  </cols>
  <sheetData>
    <row r="1" spans="1:201" x14ac:dyDescent="0.45">
      <c r="A1" s="8" t="s">
        <v>128</v>
      </c>
      <c r="B1" s="8" t="s">
        <v>129</v>
      </c>
    </row>
    <row r="2" spans="1:201" x14ac:dyDescent="0.45">
      <c r="A2" s="49" t="s">
        <v>318</v>
      </c>
    </row>
    <row r="3" spans="1:201" x14ac:dyDescent="0.45">
      <c r="A3" s="2"/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Q3" s="8" t="s">
        <v>26</v>
      </c>
      <c r="R3" s="8" t="s">
        <v>27</v>
      </c>
      <c r="S3" s="8" t="s">
        <v>28</v>
      </c>
      <c r="T3" s="8" t="s">
        <v>29</v>
      </c>
      <c r="U3" s="8" t="s">
        <v>30</v>
      </c>
      <c r="V3" s="8" t="s">
        <v>31</v>
      </c>
      <c r="W3" s="8" t="s">
        <v>32</v>
      </c>
      <c r="X3" s="8" t="s">
        <v>33</v>
      </c>
      <c r="Y3" s="8" t="s">
        <v>34</v>
      </c>
      <c r="Z3" s="8" t="s">
        <v>35</v>
      </c>
      <c r="AA3" s="8" t="s">
        <v>36</v>
      </c>
      <c r="AB3" s="8" t="s">
        <v>37</v>
      </c>
      <c r="AC3" s="8" t="s">
        <v>38</v>
      </c>
      <c r="AD3" s="8" t="s">
        <v>39</v>
      </c>
      <c r="AE3" s="8" t="s">
        <v>40</v>
      </c>
      <c r="AF3" s="8" t="s">
        <v>41</v>
      </c>
      <c r="AG3" s="8" t="s">
        <v>42</v>
      </c>
      <c r="AH3" s="8" t="s">
        <v>43</v>
      </c>
      <c r="AI3" s="8" t="s">
        <v>44</v>
      </c>
      <c r="AJ3" s="8" t="s">
        <v>45</v>
      </c>
      <c r="AK3" s="8" t="s">
        <v>46</v>
      </c>
      <c r="AL3" s="8" t="s">
        <v>47</v>
      </c>
      <c r="AM3" s="8" t="s">
        <v>48</v>
      </c>
      <c r="AN3" s="8" t="s">
        <v>49</v>
      </c>
      <c r="AO3" s="8" t="s">
        <v>50</v>
      </c>
      <c r="AP3" s="8" t="s">
        <v>51</v>
      </c>
      <c r="AQ3" s="8" t="s">
        <v>52</v>
      </c>
      <c r="AR3" s="8" t="s">
        <v>53</v>
      </c>
      <c r="AS3" s="8" t="s">
        <v>54</v>
      </c>
      <c r="AT3" s="8" t="s">
        <v>55</v>
      </c>
      <c r="AU3" s="8" t="s">
        <v>56</v>
      </c>
      <c r="AV3" s="8" t="s">
        <v>57</v>
      </c>
      <c r="AW3" s="8" t="s">
        <v>58</v>
      </c>
      <c r="AX3" s="8" t="s">
        <v>59</v>
      </c>
      <c r="AY3" s="8" t="s">
        <v>60</v>
      </c>
      <c r="AZ3" s="8" t="s">
        <v>61</v>
      </c>
      <c r="BA3" s="8" t="s">
        <v>62</v>
      </c>
      <c r="BB3" s="8" t="s">
        <v>63</v>
      </c>
      <c r="BC3" s="8" t="s">
        <v>64</v>
      </c>
      <c r="BD3" s="8" t="s">
        <v>65</v>
      </c>
      <c r="BE3" s="8" t="s">
        <v>66</v>
      </c>
      <c r="BF3" s="8" t="s">
        <v>67</v>
      </c>
      <c r="BG3" s="8" t="s">
        <v>68</v>
      </c>
      <c r="BH3" s="8" t="s">
        <v>69</v>
      </c>
      <c r="BI3" s="8" t="s">
        <v>70</v>
      </c>
      <c r="BJ3" s="8" t="s">
        <v>71</v>
      </c>
      <c r="BK3" s="8" t="s">
        <v>72</v>
      </c>
      <c r="BL3" s="8" t="s">
        <v>73</v>
      </c>
      <c r="BM3" s="8" t="s">
        <v>74</v>
      </c>
      <c r="BN3" s="8" t="s">
        <v>75</v>
      </c>
      <c r="BO3" s="8" t="s">
        <v>76</v>
      </c>
      <c r="BP3" s="8" t="s">
        <v>77</v>
      </c>
      <c r="BQ3" s="8" t="s">
        <v>78</v>
      </c>
      <c r="BR3" s="8" t="s">
        <v>79</v>
      </c>
      <c r="BS3" s="8" t="s">
        <v>80</v>
      </c>
      <c r="BT3" s="8" t="s">
        <v>81</v>
      </c>
      <c r="BU3" s="8" t="s">
        <v>82</v>
      </c>
      <c r="BV3" s="8" t="s">
        <v>83</v>
      </c>
      <c r="BW3" s="8" t="s">
        <v>84</v>
      </c>
      <c r="BX3" s="8" t="s">
        <v>85</v>
      </c>
      <c r="BY3" s="8" t="s">
        <v>86</v>
      </c>
      <c r="BZ3" s="8" t="s">
        <v>87</v>
      </c>
      <c r="CA3" s="8" t="s">
        <v>88</v>
      </c>
      <c r="CB3" s="8" t="s">
        <v>89</v>
      </c>
      <c r="CC3" s="8" t="s">
        <v>90</v>
      </c>
      <c r="CD3" s="8" t="s">
        <v>91</v>
      </c>
      <c r="CE3" s="8" t="s">
        <v>92</v>
      </c>
      <c r="CF3" s="8" t="s">
        <v>93</v>
      </c>
      <c r="CG3" s="8" t="s">
        <v>94</v>
      </c>
      <c r="CH3" s="8" t="s">
        <v>95</v>
      </c>
      <c r="CI3" s="8" t="s">
        <v>96</v>
      </c>
      <c r="CJ3" s="8" t="s">
        <v>97</v>
      </c>
      <c r="CK3" s="8" t="s">
        <v>98</v>
      </c>
      <c r="CL3" s="8" t="s">
        <v>99</v>
      </c>
      <c r="CM3" s="8" t="s">
        <v>100</v>
      </c>
      <c r="CN3" s="8" t="s">
        <v>101</v>
      </c>
      <c r="CO3" s="8" t="s">
        <v>102</v>
      </c>
      <c r="CP3" s="8" t="s">
        <v>103</v>
      </c>
      <c r="CQ3" s="8" t="s">
        <v>104</v>
      </c>
      <c r="CR3" s="8" t="s">
        <v>105</v>
      </c>
      <c r="CS3" s="8" t="s">
        <v>106</v>
      </c>
      <c r="CT3" s="8" t="s">
        <v>107</v>
      </c>
      <c r="CU3" s="8" t="s">
        <v>108</v>
      </c>
      <c r="CV3" s="8" t="s">
        <v>109</v>
      </c>
      <c r="CW3" s="8" t="s">
        <v>110</v>
      </c>
      <c r="CX3" s="8" t="s">
        <v>111</v>
      </c>
      <c r="CY3" s="8" t="s">
        <v>112</v>
      </c>
    </row>
    <row r="4" spans="1:201" x14ac:dyDescent="0.45">
      <c r="A4" s="2" t="s">
        <v>0</v>
      </c>
      <c r="B4" s="3">
        <f>C4</f>
        <v>1.9937500000000001</v>
      </c>
      <c r="C4" s="3">
        <v>1.9937500000000001</v>
      </c>
      <c r="D4" s="3">
        <v>0.14375000000000004</v>
      </c>
      <c r="E4" s="3">
        <v>0.14375000000000004</v>
      </c>
      <c r="F4" s="3">
        <v>0.14375000000000004</v>
      </c>
      <c r="G4" s="3">
        <v>0.14375000000000004</v>
      </c>
      <c r="H4" s="3">
        <v>9.9999999999999992E-2</v>
      </c>
      <c r="I4" s="3">
        <v>9.9999999999999992E-2</v>
      </c>
      <c r="J4" s="3">
        <v>9.9999999999999992E-2</v>
      </c>
      <c r="K4" s="3">
        <v>9.9999999999999992E-2</v>
      </c>
      <c r="L4" s="3">
        <v>9.9999999999999992E-2</v>
      </c>
      <c r="M4" s="3">
        <v>0.12857142857142859</v>
      </c>
      <c r="N4" s="3">
        <v>0.12857142857142859</v>
      </c>
      <c r="O4" s="3">
        <v>0.12857142857142859</v>
      </c>
      <c r="P4" s="3">
        <v>0.12857142857142859</v>
      </c>
      <c r="Q4" s="3">
        <v>0.12857142857142859</v>
      </c>
      <c r="R4" s="3">
        <v>0.24375000000000002</v>
      </c>
      <c r="S4" s="3">
        <v>0.24375000000000002</v>
      </c>
      <c r="T4" s="3">
        <v>0.24375000000000002</v>
      </c>
      <c r="U4" s="3">
        <v>0.24375000000000002</v>
      </c>
      <c r="V4" s="3">
        <v>0.24375000000000002</v>
      </c>
      <c r="W4" s="3">
        <v>0.375</v>
      </c>
      <c r="X4" s="3">
        <v>0.375</v>
      </c>
      <c r="Y4" s="3">
        <v>0.375</v>
      </c>
      <c r="Z4" s="3">
        <v>0.375</v>
      </c>
      <c r="AA4" s="3">
        <v>0.375</v>
      </c>
      <c r="AB4" s="3">
        <v>0.38124999999999998</v>
      </c>
      <c r="AC4" s="3">
        <v>0.38124999999999998</v>
      </c>
      <c r="AD4" s="3">
        <v>0.38124999999999998</v>
      </c>
      <c r="AE4" s="3">
        <v>0.38124999999999998</v>
      </c>
      <c r="AF4" s="3">
        <v>0.38124999999999998</v>
      </c>
      <c r="AG4" s="3">
        <v>0.46250000000000008</v>
      </c>
      <c r="AH4" s="3">
        <v>0.46250000000000008</v>
      </c>
      <c r="AI4" s="3">
        <v>0.46250000000000008</v>
      </c>
      <c r="AJ4" s="3">
        <v>0.46250000000000008</v>
      </c>
      <c r="AK4" s="3">
        <v>0.46250000000000008</v>
      </c>
      <c r="AL4" s="3">
        <v>0.64999999999999991</v>
      </c>
      <c r="AM4" s="3">
        <v>0.64999999999999991</v>
      </c>
      <c r="AN4" s="3">
        <v>0.64999999999999991</v>
      </c>
      <c r="AO4" s="3">
        <v>0.64999999999999991</v>
      </c>
      <c r="AP4" s="3">
        <v>0.64999999999999991</v>
      </c>
      <c r="AQ4" s="3">
        <v>1.0749999999999997</v>
      </c>
      <c r="AR4" s="3">
        <v>1.0749999999999997</v>
      </c>
      <c r="AS4" s="3">
        <v>1.0749999999999997</v>
      </c>
      <c r="AT4" s="3">
        <v>1.0749999999999997</v>
      </c>
      <c r="AU4" s="3">
        <v>1.0749999999999997</v>
      </c>
      <c r="AV4" s="3">
        <v>1.8124999999999998</v>
      </c>
      <c r="AW4" s="3">
        <v>1.8124999999999998</v>
      </c>
      <c r="AX4" s="3">
        <v>1.8124999999999998</v>
      </c>
      <c r="AY4" s="3">
        <v>1.8124999999999998</v>
      </c>
      <c r="AZ4" s="3">
        <v>1.8124999999999998</v>
      </c>
      <c r="BA4" s="3">
        <v>3.0437500000000002</v>
      </c>
      <c r="BB4" s="3">
        <v>3.0437500000000002</v>
      </c>
      <c r="BC4" s="3">
        <v>3.0437500000000002</v>
      </c>
      <c r="BD4" s="3">
        <v>3.0437500000000002</v>
      </c>
      <c r="BE4" s="3">
        <v>3.0437500000000002</v>
      </c>
      <c r="BF4" s="3">
        <v>5.1312500000000005</v>
      </c>
      <c r="BG4" s="3">
        <v>5.1312500000000005</v>
      </c>
      <c r="BH4" s="3">
        <v>5.1312500000000005</v>
      </c>
      <c r="BI4" s="3">
        <v>5.1312500000000005</v>
      </c>
      <c r="BJ4" s="3">
        <v>5.1312500000000005</v>
      </c>
      <c r="BK4" s="3">
        <v>8.34375</v>
      </c>
      <c r="BL4" s="3">
        <v>8.34375</v>
      </c>
      <c r="BM4" s="3">
        <v>8.34375</v>
      </c>
      <c r="BN4" s="3">
        <v>8.34375</v>
      </c>
      <c r="BO4" s="3">
        <v>8.34375</v>
      </c>
      <c r="BP4" s="3">
        <v>13.56875</v>
      </c>
      <c r="BQ4" s="3">
        <v>13.56875</v>
      </c>
      <c r="BR4" s="3">
        <v>13.56875</v>
      </c>
      <c r="BS4" s="3">
        <v>13.56875</v>
      </c>
      <c r="BT4" s="3">
        <v>13.56875</v>
      </c>
      <c r="BU4" s="3">
        <v>22.768750000000001</v>
      </c>
      <c r="BV4" s="3">
        <v>22.768750000000001</v>
      </c>
      <c r="BW4" s="3">
        <v>22.768750000000001</v>
      </c>
      <c r="BX4" s="3">
        <v>22.768750000000001</v>
      </c>
      <c r="BY4" s="3">
        <v>22.768750000000001</v>
      </c>
      <c r="BZ4" s="3">
        <v>38.46875</v>
      </c>
      <c r="CA4" s="3">
        <v>38.46875</v>
      </c>
      <c r="CB4" s="3">
        <v>38.46875</v>
      </c>
      <c r="CC4" s="3">
        <v>38.46875</v>
      </c>
      <c r="CD4" s="3">
        <v>38.46875</v>
      </c>
      <c r="CE4" s="3">
        <v>66.381250000000009</v>
      </c>
      <c r="CF4" s="3">
        <v>66.381250000000009</v>
      </c>
      <c r="CG4" s="3">
        <v>66.381250000000009</v>
      </c>
      <c r="CH4" s="3">
        <v>66.381250000000009</v>
      </c>
      <c r="CI4" s="3">
        <v>66.381250000000009</v>
      </c>
      <c r="CJ4" s="3">
        <v>110.47499999999999</v>
      </c>
      <c r="CK4" s="3">
        <v>110.47499999999999</v>
      </c>
      <c r="CL4" s="3">
        <v>110.47499999999999</v>
      </c>
      <c r="CM4" s="3">
        <v>110.47499999999999</v>
      </c>
      <c r="CN4" s="3">
        <v>110.47499999999999</v>
      </c>
      <c r="CO4" s="3">
        <v>173.41249999999999</v>
      </c>
      <c r="CP4" s="3">
        <v>173.41249999999999</v>
      </c>
      <c r="CQ4" s="3">
        <v>173.41249999999999</v>
      </c>
      <c r="CR4" s="3">
        <v>173.41249999999999</v>
      </c>
      <c r="CS4" s="3">
        <v>173.41249999999999</v>
      </c>
      <c r="CT4" s="3">
        <v>173.41249999999999</v>
      </c>
      <c r="CU4" s="3">
        <v>173.41249999999999</v>
      </c>
      <c r="CV4" s="3">
        <v>173.41249999999999</v>
      </c>
      <c r="CW4" s="3">
        <v>173.41249999999999</v>
      </c>
      <c r="CX4" s="3">
        <v>173.41249999999999</v>
      </c>
      <c r="CY4" s="3">
        <v>173.41249999999999</v>
      </c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</row>
    <row r="5" spans="1:201" x14ac:dyDescent="0.45">
      <c r="A5" s="2" t="s">
        <v>1</v>
      </c>
      <c r="B5" s="3">
        <f>C5</f>
        <v>1.9375</v>
      </c>
      <c r="C5" s="3">
        <v>1.9375</v>
      </c>
      <c r="D5" s="3">
        <v>0.11333333333333334</v>
      </c>
      <c r="E5" s="3">
        <v>0.11333333333333334</v>
      </c>
      <c r="F5" s="3">
        <v>0.11333333333333334</v>
      </c>
      <c r="G5" s="3">
        <v>0.11333333333333334</v>
      </c>
      <c r="H5" s="3">
        <v>9.9999999999999992E-2</v>
      </c>
      <c r="I5" s="3">
        <v>9.9999999999999992E-2</v>
      </c>
      <c r="J5" s="3">
        <v>9.9999999999999992E-2</v>
      </c>
      <c r="K5" s="3">
        <v>9.9999999999999992E-2</v>
      </c>
      <c r="L5" s="3">
        <v>9.9999999999999992E-2</v>
      </c>
      <c r="M5" s="3">
        <v>0.1</v>
      </c>
      <c r="N5" s="3">
        <v>0.1</v>
      </c>
      <c r="O5" s="3">
        <v>0.1</v>
      </c>
      <c r="P5" s="3">
        <v>0.1</v>
      </c>
      <c r="Q5" s="3">
        <v>0.1</v>
      </c>
      <c r="R5" s="3">
        <v>0.16250000000000003</v>
      </c>
      <c r="S5" s="3">
        <v>0.16250000000000003</v>
      </c>
      <c r="T5" s="3">
        <v>0.16250000000000003</v>
      </c>
      <c r="U5" s="3">
        <v>0.16250000000000003</v>
      </c>
      <c r="V5" s="3">
        <v>0.16250000000000003</v>
      </c>
      <c r="W5" s="3">
        <v>0.17500000000000004</v>
      </c>
      <c r="X5" s="3">
        <v>0.17500000000000004</v>
      </c>
      <c r="Y5" s="3">
        <v>0.17500000000000004</v>
      </c>
      <c r="Z5" s="3">
        <v>0.17500000000000004</v>
      </c>
      <c r="AA5" s="3">
        <v>0.17500000000000004</v>
      </c>
      <c r="AB5" s="3">
        <v>0.18125000000000005</v>
      </c>
      <c r="AC5" s="3">
        <v>0.18125000000000005</v>
      </c>
      <c r="AD5" s="3">
        <v>0.18125000000000005</v>
      </c>
      <c r="AE5" s="3">
        <v>0.18125000000000005</v>
      </c>
      <c r="AF5" s="3">
        <v>0.18125000000000005</v>
      </c>
      <c r="AG5" s="3">
        <v>0.26250000000000001</v>
      </c>
      <c r="AH5" s="3">
        <v>0.26250000000000001</v>
      </c>
      <c r="AI5" s="3">
        <v>0.26250000000000001</v>
      </c>
      <c r="AJ5" s="3">
        <v>0.26250000000000001</v>
      </c>
      <c r="AK5" s="3">
        <v>0.26250000000000001</v>
      </c>
      <c r="AL5" s="3">
        <v>0.39375000000000004</v>
      </c>
      <c r="AM5" s="3">
        <v>0.39375000000000004</v>
      </c>
      <c r="AN5" s="3">
        <v>0.39375000000000004</v>
      </c>
      <c r="AO5" s="3">
        <v>0.39375000000000004</v>
      </c>
      <c r="AP5" s="3">
        <v>0.39375000000000004</v>
      </c>
      <c r="AQ5" s="3">
        <v>0.63124999999999987</v>
      </c>
      <c r="AR5" s="3">
        <v>0.63124999999999987</v>
      </c>
      <c r="AS5" s="3">
        <v>0.63124999999999987</v>
      </c>
      <c r="AT5" s="3">
        <v>0.63124999999999987</v>
      </c>
      <c r="AU5" s="3">
        <v>0.63124999999999987</v>
      </c>
      <c r="AV5" s="3">
        <v>1.08125</v>
      </c>
      <c r="AW5" s="3">
        <v>1.08125</v>
      </c>
      <c r="AX5" s="3">
        <v>1.08125</v>
      </c>
      <c r="AY5" s="3">
        <v>1.08125</v>
      </c>
      <c r="AZ5" s="3">
        <v>1.08125</v>
      </c>
      <c r="BA5" s="3">
        <v>1.8062500000000004</v>
      </c>
      <c r="BB5" s="3">
        <v>1.8062500000000004</v>
      </c>
      <c r="BC5" s="3">
        <v>1.8062500000000004</v>
      </c>
      <c r="BD5" s="3">
        <v>1.8062500000000004</v>
      </c>
      <c r="BE5" s="3">
        <v>1.8062500000000004</v>
      </c>
      <c r="BF5" s="3">
        <v>2.8562500000000002</v>
      </c>
      <c r="BG5" s="3">
        <v>2.8562500000000002</v>
      </c>
      <c r="BH5" s="3">
        <v>2.8562500000000002</v>
      </c>
      <c r="BI5" s="3">
        <v>2.8562500000000002</v>
      </c>
      <c r="BJ5" s="3">
        <v>2.8562500000000002</v>
      </c>
      <c r="BK5" s="3">
        <v>4.4374999999999991</v>
      </c>
      <c r="BL5" s="3">
        <v>4.4374999999999991</v>
      </c>
      <c r="BM5" s="3">
        <v>4.4374999999999991</v>
      </c>
      <c r="BN5" s="3">
        <v>4.4374999999999991</v>
      </c>
      <c r="BO5" s="3">
        <v>4.4374999999999991</v>
      </c>
      <c r="BP5" s="3">
        <v>7.1999999999999993</v>
      </c>
      <c r="BQ5" s="3">
        <v>7.1999999999999993</v>
      </c>
      <c r="BR5" s="3">
        <v>7.1999999999999993</v>
      </c>
      <c r="BS5" s="3">
        <v>7.1999999999999993</v>
      </c>
      <c r="BT5" s="3">
        <v>7.1999999999999993</v>
      </c>
      <c r="BU5" s="3">
        <v>12.150000000000002</v>
      </c>
      <c r="BV5" s="3">
        <v>12.150000000000002</v>
      </c>
      <c r="BW5" s="3">
        <v>12.150000000000002</v>
      </c>
      <c r="BX5" s="3">
        <v>12.150000000000002</v>
      </c>
      <c r="BY5" s="3">
        <v>12.150000000000002</v>
      </c>
      <c r="BZ5" s="3">
        <v>22.90625</v>
      </c>
      <c r="CA5" s="3">
        <v>22.90625</v>
      </c>
      <c r="CB5" s="3">
        <v>22.90625</v>
      </c>
      <c r="CC5" s="3">
        <v>22.90625</v>
      </c>
      <c r="CD5" s="3">
        <v>22.90625</v>
      </c>
      <c r="CE5" s="3">
        <v>43.20624999999999</v>
      </c>
      <c r="CF5" s="3">
        <v>43.20624999999999</v>
      </c>
      <c r="CG5" s="3">
        <v>43.20624999999999</v>
      </c>
      <c r="CH5" s="3">
        <v>43.20624999999999</v>
      </c>
      <c r="CI5" s="3">
        <v>43.20624999999999</v>
      </c>
      <c r="CJ5" s="3">
        <v>78.549999999999983</v>
      </c>
      <c r="CK5" s="3">
        <v>78.549999999999983</v>
      </c>
      <c r="CL5" s="3">
        <v>78.549999999999983</v>
      </c>
      <c r="CM5" s="3">
        <v>78.549999999999983</v>
      </c>
      <c r="CN5" s="3">
        <v>78.549999999999983</v>
      </c>
      <c r="CO5" s="3">
        <v>154.11875000000001</v>
      </c>
      <c r="CP5" s="3">
        <v>154.11875000000001</v>
      </c>
      <c r="CQ5" s="3">
        <v>154.11875000000001</v>
      </c>
      <c r="CR5" s="3">
        <v>154.11875000000001</v>
      </c>
      <c r="CS5" s="3">
        <v>154.11875000000001</v>
      </c>
      <c r="CT5" s="3">
        <v>154.11875000000001</v>
      </c>
      <c r="CU5" s="3">
        <v>154.11875000000001</v>
      </c>
      <c r="CV5" s="3">
        <v>154.11875000000001</v>
      </c>
      <c r="CW5" s="3">
        <v>154.11875000000001</v>
      </c>
      <c r="CX5" s="3">
        <v>154.11875000000001</v>
      </c>
      <c r="CY5" s="3">
        <v>154.11875000000001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</row>
    <row r="6" spans="1:201" x14ac:dyDescent="0.4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</row>
    <row r="7" spans="1:201" x14ac:dyDescent="0.45">
      <c r="A7" s="2"/>
      <c r="B7" s="9"/>
      <c r="C7" s="9"/>
      <c r="D7" s="9"/>
      <c r="E7" s="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</row>
    <row r="8" spans="1:201" x14ac:dyDescent="0.45">
      <c r="A8" s="2" t="s">
        <v>298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47">
        <v>2.8937500000000003</v>
      </c>
      <c r="S8" s="47">
        <v>2.8937500000000003</v>
      </c>
      <c r="T8" s="47">
        <v>2.8937500000000003</v>
      </c>
      <c r="U8" s="47">
        <v>2.8937500000000003</v>
      </c>
      <c r="V8" s="47">
        <v>2.8937500000000003</v>
      </c>
      <c r="W8" s="47">
        <v>15.606249999999998</v>
      </c>
      <c r="X8" s="47">
        <v>15.606249999999998</v>
      </c>
      <c r="Y8" s="47">
        <v>15.606249999999998</v>
      </c>
      <c r="Z8" s="47">
        <v>15.606249999999998</v>
      </c>
      <c r="AA8" s="47">
        <v>15.606249999999998</v>
      </c>
      <c r="AB8" s="47">
        <v>59.856250000000003</v>
      </c>
      <c r="AC8" s="47">
        <v>59.856250000000003</v>
      </c>
      <c r="AD8" s="47">
        <v>59.856250000000003</v>
      </c>
      <c r="AE8" s="47">
        <v>59.856250000000003</v>
      </c>
      <c r="AF8" s="47">
        <v>59.856250000000003</v>
      </c>
      <c r="AG8" s="47">
        <v>89.743750000000006</v>
      </c>
      <c r="AH8" s="47">
        <v>89.743750000000006</v>
      </c>
      <c r="AI8" s="47">
        <v>89.743750000000006</v>
      </c>
      <c r="AJ8" s="47">
        <v>89.743750000000006</v>
      </c>
      <c r="AK8" s="47">
        <v>89.743750000000006</v>
      </c>
      <c r="AL8" s="47">
        <v>47.906249999999993</v>
      </c>
      <c r="AM8" s="47">
        <v>47.906249999999993</v>
      </c>
      <c r="AN8" s="47">
        <v>47.906249999999993</v>
      </c>
      <c r="AO8" s="47">
        <v>47.906249999999993</v>
      </c>
      <c r="AP8" s="47">
        <v>47.906249999999993</v>
      </c>
      <c r="AQ8" s="47">
        <v>8.8624999999999989</v>
      </c>
      <c r="AR8" s="47">
        <v>8.8624999999999989</v>
      </c>
      <c r="AS8" s="47">
        <v>8.8624999999999989</v>
      </c>
      <c r="AT8" s="47">
        <v>8.8624999999999989</v>
      </c>
      <c r="AU8" s="47">
        <v>8.8624999999999989</v>
      </c>
      <c r="AV8" s="47">
        <v>0.41249999999999998</v>
      </c>
      <c r="AW8" s="47">
        <v>0.41249999999999998</v>
      </c>
      <c r="AX8" s="47">
        <v>0.41249999999999998</v>
      </c>
      <c r="AY8" s="47">
        <v>0.41249999999999998</v>
      </c>
      <c r="AZ8" s="47">
        <v>0.41249999999999998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</row>
    <row r="9" spans="1:20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</row>
    <row r="10" spans="1:201" x14ac:dyDescent="0.45">
      <c r="A10" s="2"/>
      <c r="B10" s="8" t="s">
        <v>113</v>
      </c>
      <c r="C10" s="8" t="s">
        <v>114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</row>
    <row r="11" spans="1:201" x14ac:dyDescent="0.45">
      <c r="A11" s="2" t="s">
        <v>2</v>
      </c>
      <c r="B11" s="2">
        <v>0.48</v>
      </c>
      <c r="C11" s="2">
        <v>0.52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</row>
    <row r="12" spans="1:20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</row>
    <row r="13" spans="1:201" x14ac:dyDescent="0.45">
      <c r="A13" s="6" t="s">
        <v>141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  <c r="K13" s="8" t="s">
        <v>20</v>
      </c>
      <c r="L13" s="8" t="s">
        <v>21</v>
      </c>
      <c r="M13" s="8" t="s">
        <v>22</v>
      </c>
      <c r="N13" s="8" t="s">
        <v>23</v>
      </c>
      <c r="O13" s="8" t="s">
        <v>24</v>
      </c>
      <c r="P13" s="8" t="s">
        <v>25</v>
      </c>
      <c r="Q13" s="8" t="s">
        <v>26</v>
      </c>
      <c r="R13" s="8" t="s">
        <v>27</v>
      </c>
      <c r="S13" s="8" t="s">
        <v>28</v>
      </c>
      <c r="T13" s="8" t="s">
        <v>29</v>
      </c>
      <c r="U13" s="8" t="s">
        <v>30</v>
      </c>
      <c r="V13" s="8" t="s">
        <v>31</v>
      </c>
      <c r="W13" s="8" t="s">
        <v>32</v>
      </c>
      <c r="X13" s="8" t="s">
        <v>33</v>
      </c>
      <c r="Y13" s="8" t="s">
        <v>34</v>
      </c>
      <c r="Z13" s="8" t="s">
        <v>35</v>
      </c>
      <c r="AA13" s="8" t="s">
        <v>36</v>
      </c>
      <c r="AB13" s="8" t="s">
        <v>37</v>
      </c>
      <c r="AC13" s="8" t="s">
        <v>38</v>
      </c>
      <c r="AD13" s="8" t="s">
        <v>39</v>
      </c>
      <c r="AE13" s="8" t="s">
        <v>40</v>
      </c>
      <c r="AF13" s="8" t="s">
        <v>41</v>
      </c>
      <c r="AG13" s="8" t="s">
        <v>42</v>
      </c>
      <c r="AH13" s="8" t="s">
        <v>43</v>
      </c>
      <c r="AI13" s="8" t="s">
        <v>44</v>
      </c>
      <c r="AJ13" s="8" t="s">
        <v>45</v>
      </c>
      <c r="AK13" s="8" t="s">
        <v>46</v>
      </c>
      <c r="AL13" s="8" t="s">
        <v>47</v>
      </c>
      <c r="AM13" s="8" t="s">
        <v>48</v>
      </c>
      <c r="AN13" s="8" t="s">
        <v>49</v>
      </c>
      <c r="AO13" s="8" t="s">
        <v>50</v>
      </c>
      <c r="AP13" s="8" t="s">
        <v>51</v>
      </c>
      <c r="AQ13" s="8" t="s">
        <v>52</v>
      </c>
      <c r="AR13" s="8" t="s">
        <v>53</v>
      </c>
      <c r="AS13" s="8" t="s">
        <v>54</v>
      </c>
      <c r="AT13" s="8" t="s">
        <v>55</v>
      </c>
      <c r="AU13" s="8" t="s">
        <v>56</v>
      </c>
      <c r="AV13" s="8" t="s">
        <v>57</v>
      </c>
      <c r="AW13" s="8" t="s">
        <v>58</v>
      </c>
      <c r="AX13" s="8" t="s">
        <v>59</v>
      </c>
      <c r="AY13" s="8" t="s">
        <v>60</v>
      </c>
      <c r="AZ13" s="8" t="s">
        <v>61</v>
      </c>
      <c r="BA13" s="8" t="s">
        <v>62</v>
      </c>
      <c r="BB13" s="8" t="s">
        <v>63</v>
      </c>
      <c r="BC13" s="8" t="s">
        <v>64</v>
      </c>
      <c r="BD13" s="8" t="s">
        <v>65</v>
      </c>
      <c r="BE13" s="8" t="s">
        <v>66</v>
      </c>
      <c r="BF13" s="8" t="s">
        <v>67</v>
      </c>
      <c r="BG13" s="8" t="s">
        <v>68</v>
      </c>
      <c r="BH13" s="8" t="s">
        <v>69</v>
      </c>
      <c r="BI13" s="8" t="s">
        <v>70</v>
      </c>
      <c r="BJ13" s="8" t="s">
        <v>71</v>
      </c>
      <c r="BK13" s="8" t="s">
        <v>72</v>
      </c>
      <c r="BL13" s="8" t="s">
        <v>73</v>
      </c>
      <c r="BM13" s="8" t="s">
        <v>74</v>
      </c>
      <c r="BN13" s="8" t="s">
        <v>75</v>
      </c>
      <c r="BO13" s="8" t="s">
        <v>76</v>
      </c>
      <c r="BP13" s="8" t="s">
        <v>77</v>
      </c>
      <c r="BQ13" s="8" t="s">
        <v>78</v>
      </c>
      <c r="BR13" s="8" t="s">
        <v>79</v>
      </c>
      <c r="BS13" s="8" t="s">
        <v>80</v>
      </c>
      <c r="BT13" s="8" t="s">
        <v>81</v>
      </c>
      <c r="BU13" s="8" t="s">
        <v>82</v>
      </c>
      <c r="BV13" s="8" t="s">
        <v>83</v>
      </c>
      <c r="BW13" s="8" t="s">
        <v>84</v>
      </c>
      <c r="BX13" s="8" t="s">
        <v>85</v>
      </c>
      <c r="BY13" s="8" t="s">
        <v>86</v>
      </c>
      <c r="BZ13" s="8" t="s">
        <v>87</v>
      </c>
      <c r="CA13" s="8" t="s">
        <v>88</v>
      </c>
      <c r="CB13" s="8" t="s">
        <v>89</v>
      </c>
      <c r="CC13" s="8" t="s">
        <v>90</v>
      </c>
      <c r="CD13" s="8" t="s">
        <v>91</v>
      </c>
      <c r="CE13" s="8" t="s">
        <v>92</v>
      </c>
      <c r="CF13" s="8" t="s">
        <v>93</v>
      </c>
      <c r="CG13" s="8" t="s">
        <v>94</v>
      </c>
      <c r="CH13" s="8" t="s">
        <v>95</v>
      </c>
      <c r="CI13" s="8" t="s">
        <v>96</v>
      </c>
      <c r="CJ13" s="8" t="s">
        <v>97</v>
      </c>
      <c r="CK13" s="8" t="s">
        <v>98</v>
      </c>
      <c r="CL13" s="8" t="s">
        <v>99</v>
      </c>
      <c r="CM13" s="8" t="s">
        <v>100</v>
      </c>
      <c r="CN13" s="8" t="s">
        <v>101</v>
      </c>
      <c r="CO13" s="8" t="s">
        <v>102</v>
      </c>
      <c r="CP13" s="8" t="s">
        <v>103</v>
      </c>
      <c r="CQ13" s="8" t="s">
        <v>104</v>
      </c>
      <c r="CR13" s="8" t="s">
        <v>105</v>
      </c>
      <c r="CS13" s="8" t="s">
        <v>106</v>
      </c>
      <c r="CT13" s="8" t="s">
        <v>107</v>
      </c>
      <c r="CU13" s="8" t="s">
        <v>108</v>
      </c>
      <c r="CV13" s="8" t="s">
        <v>109</v>
      </c>
      <c r="CW13" s="8" t="s">
        <v>110</v>
      </c>
      <c r="CX13" s="8" t="s">
        <v>111</v>
      </c>
      <c r="CY13" s="8" t="s">
        <v>112</v>
      </c>
    </row>
    <row r="14" spans="1:201" x14ac:dyDescent="0.45">
      <c r="A14" s="2" t="s">
        <v>3</v>
      </c>
      <c r="B14" s="2">
        <v>0</v>
      </c>
      <c r="C14" s="2">
        <v>11690</v>
      </c>
      <c r="D14" s="2">
        <v>13107</v>
      </c>
      <c r="E14" s="2">
        <v>13950</v>
      </c>
      <c r="F14" s="2">
        <v>13455</v>
      </c>
      <c r="G14" s="2">
        <v>13487</v>
      </c>
      <c r="H14" s="2">
        <v>13571</v>
      </c>
      <c r="I14" s="2">
        <v>13356</v>
      </c>
      <c r="J14" s="2">
        <v>14338</v>
      </c>
      <c r="K14" s="2">
        <v>14505</v>
      </c>
      <c r="L14" s="2">
        <v>17005</v>
      </c>
      <c r="M14" s="2">
        <v>16697</v>
      </c>
      <c r="N14" s="2">
        <v>15834</v>
      </c>
      <c r="O14" s="2">
        <v>17430</v>
      </c>
      <c r="P14" s="2">
        <v>18070</v>
      </c>
      <c r="Q14" s="2">
        <v>18586</v>
      </c>
      <c r="R14" s="2">
        <v>18931</v>
      </c>
      <c r="S14" s="2">
        <v>19051</v>
      </c>
      <c r="T14" s="2">
        <v>19018</v>
      </c>
      <c r="U14" s="2">
        <v>18352</v>
      </c>
      <c r="V14" s="2">
        <v>19485</v>
      </c>
      <c r="W14" s="2">
        <v>18320</v>
      </c>
      <c r="X14" s="2">
        <v>20385</v>
      </c>
      <c r="Y14" s="2">
        <v>18161</v>
      </c>
      <c r="Z14" s="2">
        <v>15176</v>
      </c>
      <c r="AA14" s="2">
        <v>16447</v>
      </c>
      <c r="AB14" s="2">
        <v>17921</v>
      </c>
      <c r="AC14" s="2">
        <v>17645</v>
      </c>
      <c r="AD14" s="2">
        <v>19421</v>
      </c>
      <c r="AE14" s="2">
        <v>20061</v>
      </c>
      <c r="AF14" s="2">
        <v>19949</v>
      </c>
      <c r="AG14" s="2">
        <v>20134</v>
      </c>
      <c r="AH14" s="2">
        <v>20515</v>
      </c>
      <c r="AI14" s="2">
        <v>19805</v>
      </c>
      <c r="AJ14" s="2">
        <v>21675</v>
      </c>
      <c r="AK14" s="2">
        <v>20834</v>
      </c>
      <c r="AL14" s="2">
        <v>20944</v>
      </c>
      <c r="AM14" s="2">
        <v>22355</v>
      </c>
      <c r="AN14" s="2">
        <v>23515</v>
      </c>
      <c r="AO14" s="2">
        <v>22760</v>
      </c>
      <c r="AP14" s="2">
        <v>22362</v>
      </c>
      <c r="AQ14" s="2">
        <v>21187</v>
      </c>
      <c r="AR14" s="2">
        <v>20958</v>
      </c>
      <c r="AS14" s="2">
        <v>22171</v>
      </c>
      <c r="AT14" s="2">
        <v>22038</v>
      </c>
      <c r="AU14" s="2">
        <v>23786</v>
      </c>
      <c r="AV14" s="2">
        <v>23840</v>
      </c>
      <c r="AW14" s="2">
        <v>24638</v>
      </c>
      <c r="AX14" s="2">
        <v>24439</v>
      </c>
      <c r="AY14" s="2">
        <v>23844</v>
      </c>
      <c r="AZ14" s="2">
        <v>24238</v>
      </c>
      <c r="BA14" s="2">
        <v>24103</v>
      </c>
      <c r="BB14" s="2">
        <v>24187</v>
      </c>
      <c r="BC14" s="2">
        <v>23577</v>
      </c>
      <c r="BD14" s="2">
        <v>23634</v>
      </c>
      <c r="BE14" s="2">
        <v>22634</v>
      </c>
      <c r="BF14" s="2">
        <v>21785</v>
      </c>
      <c r="BG14" s="2">
        <v>21675</v>
      </c>
      <c r="BH14" s="2">
        <v>20195</v>
      </c>
      <c r="BI14" s="2">
        <v>19017</v>
      </c>
      <c r="BJ14" s="2">
        <v>18028</v>
      </c>
      <c r="BK14" s="2">
        <v>17950</v>
      </c>
      <c r="BL14" s="2">
        <v>17426</v>
      </c>
      <c r="BM14" s="2">
        <v>16157</v>
      </c>
      <c r="BN14" s="2">
        <v>15756</v>
      </c>
      <c r="BO14" s="2">
        <v>10845</v>
      </c>
      <c r="BP14" s="2">
        <v>8246</v>
      </c>
      <c r="BQ14" s="2">
        <v>10067</v>
      </c>
      <c r="BR14" s="2">
        <v>8737</v>
      </c>
      <c r="BS14" s="2">
        <v>8412</v>
      </c>
      <c r="BT14" s="2">
        <v>9557</v>
      </c>
      <c r="BU14" s="2">
        <v>9180</v>
      </c>
      <c r="BV14" s="2">
        <v>8616</v>
      </c>
      <c r="BW14" s="2">
        <v>6932</v>
      </c>
      <c r="BX14" s="2">
        <v>5621</v>
      </c>
      <c r="BY14" s="2">
        <v>5579</v>
      </c>
      <c r="BZ14" s="2">
        <v>5823</v>
      </c>
      <c r="CA14" s="2">
        <v>4989</v>
      </c>
      <c r="CB14" s="2">
        <v>4479</v>
      </c>
      <c r="CC14" s="2">
        <v>4093</v>
      </c>
      <c r="CD14" s="2">
        <v>3593</v>
      </c>
      <c r="CE14" s="2">
        <v>3222</v>
      </c>
      <c r="CF14" s="2">
        <v>2843</v>
      </c>
      <c r="CG14" s="2">
        <v>2371</v>
      </c>
      <c r="CH14" s="2">
        <v>2108</v>
      </c>
      <c r="CI14" s="2">
        <v>1639</v>
      </c>
      <c r="CJ14" s="2">
        <v>1394</v>
      </c>
      <c r="CK14" s="2">
        <v>1157</v>
      </c>
      <c r="CL14" s="2">
        <v>989</v>
      </c>
      <c r="CM14" s="2">
        <v>801</v>
      </c>
      <c r="CN14" s="2">
        <v>693</v>
      </c>
      <c r="CO14" s="2">
        <v>542</v>
      </c>
      <c r="CP14" s="2">
        <v>432</v>
      </c>
      <c r="CQ14" s="2">
        <v>357</v>
      </c>
      <c r="CR14" s="2">
        <v>276</v>
      </c>
      <c r="CS14" s="2">
        <v>193</v>
      </c>
      <c r="CT14" s="2">
        <v>174</v>
      </c>
      <c r="CU14" s="2">
        <v>120</v>
      </c>
      <c r="CV14" s="2">
        <v>88</v>
      </c>
      <c r="CW14" s="2">
        <v>79</v>
      </c>
      <c r="CX14" s="2">
        <v>67</v>
      </c>
      <c r="CY14" s="2">
        <v>203</v>
      </c>
    </row>
    <row r="15" spans="1:201" x14ac:dyDescent="0.45">
      <c r="A15" s="2" t="s">
        <v>4</v>
      </c>
      <c r="B15" s="2">
        <v>0</v>
      </c>
      <c r="C15" s="2">
        <v>11185</v>
      </c>
      <c r="D15" s="2">
        <v>12384</v>
      </c>
      <c r="E15" s="2">
        <v>13323</v>
      </c>
      <c r="F15" s="2">
        <v>12864</v>
      </c>
      <c r="G15" s="2">
        <v>12868</v>
      </c>
      <c r="H15" s="2">
        <v>13017</v>
      </c>
      <c r="I15" s="2">
        <v>12598</v>
      </c>
      <c r="J15" s="2">
        <v>13749</v>
      </c>
      <c r="K15" s="2">
        <v>13769</v>
      </c>
      <c r="L15" s="2">
        <v>15956</v>
      </c>
      <c r="M15" s="2">
        <v>15514</v>
      </c>
      <c r="N15" s="2">
        <v>14790</v>
      </c>
      <c r="O15" s="2">
        <v>16486</v>
      </c>
      <c r="P15" s="2">
        <v>16984</v>
      </c>
      <c r="Q15" s="2">
        <v>17635</v>
      </c>
      <c r="R15" s="2">
        <v>17837</v>
      </c>
      <c r="S15" s="2">
        <v>18448</v>
      </c>
      <c r="T15" s="2">
        <v>17940</v>
      </c>
      <c r="U15" s="2">
        <v>18052</v>
      </c>
      <c r="V15" s="2">
        <v>19025</v>
      </c>
      <c r="W15" s="2">
        <v>17704</v>
      </c>
      <c r="X15" s="2">
        <v>20184</v>
      </c>
      <c r="Y15" s="2">
        <v>17837</v>
      </c>
      <c r="Z15" s="2">
        <v>15012</v>
      </c>
      <c r="AA15" s="2">
        <v>16495</v>
      </c>
      <c r="AB15" s="2">
        <v>18214</v>
      </c>
      <c r="AC15" s="2">
        <v>18512</v>
      </c>
      <c r="AD15" s="2">
        <v>20599</v>
      </c>
      <c r="AE15" s="2">
        <v>21441</v>
      </c>
      <c r="AF15" s="2">
        <v>21808</v>
      </c>
      <c r="AG15" s="2">
        <v>21914</v>
      </c>
      <c r="AH15" s="2">
        <v>22664</v>
      </c>
      <c r="AI15" s="2">
        <v>22086</v>
      </c>
      <c r="AJ15" s="2">
        <v>24153</v>
      </c>
      <c r="AK15" s="2">
        <v>22899</v>
      </c>
      <c r="AL15" s="2">
        <v>23075</v>
      </c>
      <c r="AM15" s="2">
        <v>24651</v>
      </c>
      <c r="AN15" s="2">
        <v>25686</v>
      </c>
      <c r="AO15" s="2">
        <v>24861</v>
      </c>
      <c r="AP15" s="2">
        <v>24551</v>
      </c>
      <c r="AQ15" s="2">
        <v>23386</v>
      </c>
      <c r="AR15" s="2">
        <v>23104</v>
      </c>
      <c r="AS15" s="2">
        <v>23577</v>
      </c>
      <c r="AT15" s="2">
        <v>22871</v>
      </c>
      <c r="AU15" s="2">
        <v>24255</v>
      </c>
      <c r="AV15" s="2">
        <v>23859</v>
      </c>
      <c r="AW15" s="2">
        <v>24781</v>
      </c>
      <c r="AX15" s="2">
        <v>24285</v>
      </c>
      <c r="AY15" s="2">
        <v>23825</v>
      </c>
      <c r="AZ15" s="2">
        <v>23812</v>
      </c>
      <c r="BA15" s="2">
        <v>23940</v>
      </c>
      <c r="BB15" s="2">
        <v>23963</v>
      </c>
      <c r="BC15" s="2">
        <v>23559</v>
      </c>
      <c r="BD15" s="2">
        <v>23628</v>
      </c>
      <c r="BE15" s="2">
        <v>22693</v>
      </c>
      <c r="BF15" s="2">
        <v>21867</v>
      </c>
      <c r="BG15" s="2">
        <v>21018</v>
      </c>
      <c r="BH15" s="2">
        <v>19889</v>
      </c>
      <c r="BI15" s="2">
        <v>19097</v>
      </c>
      <c r="BJ15" s="2">
        <v>18006</v>
      </c>
      <c r="BK15" s="2">
        <v>18164</v>
      </c>
      <c r="BL15" s="2">
        <v>17480</v>
      </c>
      <c r="BM15" s="2">
        <v>16789</v>
      </c>
      <c r="BN15" s="2">
        <v>16480</v>
      </c>
      <c r="BO15" s="2">
        <v>11286</v>
      </c>
      <c r="BP15" s="2">
        <v>8727</v>
      </c>
      <c r="BQ15" s="2">
        <v>10866</v>
      </c>
      <c r="BR15" s="2">
        <v>9102</v>
      </c>
      <c r="BS15" s="2">
        <v>9420</v>
      </c>
      <c r="BT15" s="2">
        <v>10901</v>
      </c>
      <c r="BU15" s="2">
        <v>10600</v>
      </c>
      <c r="BV15" s="2">
        <v>10107</v>
      </c>
      <c r="BW15" s="2">
        <v>7923</v>
      </c>
      <c r="BX15" s="2">
        <v>6421</v>
      </c>
      <c r="BY15" s="2">
        <v>6368</v>
      </c>
      <c r="BZ15" s="2">
        <v>7385</v>
      </c>
      <c r="CA15" s="2">
        <v>6493</v>
      </c>
      <c r="CB15" s="2">
        <v>5913</v>
      </c>
      <c r="CC15" s="2">
        <v>5605</v>
      </c>
      <c r="CD15" s="2">
        <v>5138</v>
      </c>
      <c r="CE15" s="2">
        <v>4929</v>
      </c>
      <c r="CF15" s="2">
        <v>4737</v>
      </c>
      <c r="CG15" s="2">
        <v>4232</v>
      </c>
      <c r="CH15" s="2">
        <v>3762</v>
      </c>
      <c r="CI15" s="2">
        <v>3205</v>
      </c>
      <c r="CJ15" s="2">
        <v>2595</v>
      </c>
      <c r="CK15" s="2">
        <v>2384</v>
      </c>
      <c r="CL15" s="2">
        <v>2188</v>
      </c>
      <c r="CM15" s="2">
        <v>1861</v>
      </c>
      <c r="CN15" s="2">
        <v>1610</v>
      </c>
      <c r="CO15" s="2">
        <v>1405</v>
      </c>
      <c r="CP15" s="2">
        <v>1142</v>
      </c>
      <c r="CQ15" s="2">
        <v>985</v>
      </c>
      <c r="CR15" s="2">
        <v>791</v>
      </c>
      <c r="CS15" s="2">
        <v>631</v>
      </c>
      <c r="CT15" s="2">
        <v>503</v>
      </c>
      <c r="CU15" s="2">
        <v>392</v>
      </c>
      <c r="CV15" s="2">
        <v>343</v>
      </c>
      <c r="CW15" s="2">
        <v>235</v>
      </c>
      <c r="CX15" s="2">
        <v>168</v>
      </c>
      <c r="CY15" s="2">
        <v>446</v>
      </c>
    </row>
    <row r="16" spans="1:201" x14ac:dyDescent="0.45">
      <c r="A16" s="2" t="s">
        <v>5</v>
      </c>
      <c r="B16" s="2">
        <v>0</v>
      </c>
      <c r="C16" s="2">
        <v>3016</v>
      </c>
      <c r="D16" s="2">
        <v>3261</v>
      </c>
      <c r="E16" s="2">
        <v>3308</v>
      </c>
      <c r="F16" s="2">
        <v>3458</v>
      </c>
      <c r="G16" s="2">
        <v>3453</v>
      </c>
      <c r="H16" s="2">
        <v>3440</v>
      </c>
      <c r="I16" s="2">
        <v>3484</v>
      </c>
      <c r="J16" s="2">
        <v>3725</v>
      </c>
      <c r="K16" s="2">
        <v>4089</v>
      </c>
      <c r="L16" s="2">
        <v>4322</v>
      </c>
      <c r="M16" s="2">
        <v>4246</v>
      </c>
      <c r="N16" s="2">
        <v>4489</v>
      </c>
      <c r="O16" s="2">
        <v>4484</v>
      </c>
      <c r="P16" s="2">
        <v>4593</v>
      </c>
      <c r="Q16" s="2">
        <v>4710</v>
      </c>
      <c r="R16" s="2">
        <v>4781</v>
      </c>
      <c r="S16" s="2">
        <v>5098</v>
      </c>
      <c r="T16" s="2">
        <v>5044</v>
      </c>
      <c r="U16" s="2">
        <v>4937</v>
      </c>
      <c r="V16" s="2">
        <v>5210</v>
      </c>
      <c r="W16" s="2">
        <v>5001</v>
      </c>
      <c r="X16" s="2">
        <v>4811</v>
      </c>
      <c r="Y16" s="2">
        <v>4588</v>
      </c>
      <c r="Z16" s="2">
        <v>4053</v>
      </c>
      <c r="AA16" s="2">
        <v>4204</v>
      </c>
      <c r="AB16" s="2">
        <v>4025</v>
      </c>
      <c r="AC16" s="2">
        <v>3816</v>
      </c>
      <c r="AD16" s="2">
        <v>3902</v>
      </c>
      <c r="AE16" s="2">
        <v>3638</v>
      </c>
      <c r="AF16" s="2">
        <v>3514</v>
      </c>
      <c r="AG16" s="2">
        <v>3159</v>
      </c>
      <c r="AH16" s="2">
        <v>2849</v>
      </c>
      <c r="AI16" s="2">
        <v>2801</v>
      </c>
      <c r="AJ16" s="2">
        <v>2766</v>
      </c>
      <c r="AK16" s="2">
        <v>2764</v>
      </c>
      <c r="AL16" s="2">
        <v>3079</v>
      </c>
      <c r="AM16" s="2">
        <v>3090</v>
      </c>
      <c r="AN16" s="2">
        <v>3456</v>
      </c>
      <c r="AO16" s="2">
        <v>3295</v>
      </c>
      <c r="AP16" s="2">
        <v>3227</v>
      </c>
      <c r="AQ16" s="2">
        <v>3004</v>
      </c>
      <c r="AR16" s="2">
        <v>3332</v>
      </c>
      <c r="AS16" s="2">
        <v>3800</v>
      </c>
      <c r="AT16" s="2">
        <v>4053</v>
      </c>
      <c r="AU16" s="2">
        <v>4306</v>
      </c>
      <c r="AV16" s="2">
        <v>4290</v>
      </c>
      <c r="AW16" s="2">
        <v>4614</v>
      </c>
      <c r="AX16" s="2">
        <v>4405</v>
      </c>
      <c r="AY16" s="2">
        <v>4453</v>
      </c>
      <c r="AZ16" s="2">
        <v>4326</v>
      </c>
      <c r="BA16" s="2">
        <v>4252</v>
      </c>
      <c r="BB16" s="2">
        <v>4009</v>
      </c>
      <c r="BC16" s="2">
        <v>3804</v>
      </c>
      <c r="BD16" s="2">
        <v>3545</v>
      </c>
      <c r="BE16" s="2">
        <v>3355</v>
      </c>
      <c r="BF16" s="2">
        <v>3172</v>
      </c>
      <c r="BG16" s="2">
        <v>3097</v>
      </c>
      <c r="BH16" s="2">
        <v>2642</v>
      </c>
      <c r="BI16" s="2">
        <v>2343</v>
      </c>
      <c r="BJ16" s="2">
        <v>2143</v>
      </c>
      <c r="BK16" s="2">
        <v>2104</v>
      </c>
      <c r="BL16" s="2">
        <v>1907</v>
      </c>
      <c r="BM16" s="2">
        <v>1861</v>
      </c>
      <c r="BN16" s="2">
        <v>1945</v>
      </c>
      <c r="BO16" s="2">
        <v>1114</v>
      </c>
      <c r="BP16" s="2">
        <v>845</v>
      </c>
      <c r="BQ16" s="2">
        <v>1059</v>
      </c>
      <c r="BR16" s="2">
        <v>782</v>
      </c>
      <c r="BS16" s="2">
        <v>734</v>
      </c>
      <c r="BT16" s="2">
        <v>917</v>
      </c>
      <c r="BU16" s="2">
        <v>932</v>
      </c>
      <c r="BV16" s="2">
        <v>892</v>
      </c>
      <c r="BW16" s="2">
        <v>773</v>
      </c>
      <c r="BX16" s="2">
        <v>705</v>
      </c>
      <c r="BY16" s="2">
        <v>681</v>
      </c>
      <c r="BZ16" s="2">
        <v>802</v>
      </c>
      <c r="CA16" s="2">
        <v>634</v>
      </c>
      <c r="CB16" s="2">
        <v>555</v>
      </c>
      <c r="CC16" s="2">
        <v>434</v>
      </c>
      <c r="CD16" s="2">
        <v>379</v>
      </c>
      <c r="CE16" s="2">
        <v>407</v>
      </c>
      <c r="CF16" s="2">
        <v>405</v>
      </c>
      <c r="CG16" s="2">
        <v>347</v>
      </c>
      <c r="CH16" s="2">
        <v>310</v>
      </c>
      <c r="CI16" s="2">
        <v>237</v>
      </c>
      <c r="CJ16" s="2">
        <v>211</v>
      </c>
      <c r="CK16" s="2">
        <v>158</v>
      </c>
      <c r="CL16" s="2">
        <v>149</v>
      </c>
      <c r="CM16" s="2">
        <v>136</v>
      </c>
      <c r="CN16" s="2">
        <v>71</v>
      </c>
      <c r="CO16" s="2">
        <v>71</v>
      </c>
      <c r="CP16" s="2">
        <v>50</v>
      </c>
      <c r="CQ16" s="2">
        <v>50</v>
      </c>
      <c r="CR16" s="2">
        <v>40</v>
      </c>
      <c r="CS16" s="2">
        <v>14</v>
      </c>
      <c r="CT16" s="2">
        <v>6</v>
      </c>
      <c r="CU16" s="2">
        <v>7</v>
      </c>
      <c r="CV16" s="2">
        <v>7</v>
      </c>
      <c r="CW16" s="2">
        <v>8</v>
      </c>
      <c r="CX16" s="2">
        <v>3</v>
      </c>
      <c r="CY16" s="2">
        <v>12</v>
      </c>
    </row>
    <row r="17" spans="1:103" x14ac:dyDescent="0.45">
      <c r="A17" s="2" t="s">
        <v>6</v>
      </c>
      <c r="B17" s="2">
        <v>0</v>
      </c>
      <c r="C17" s="2">
        <v>2906</v>
      </c>
      <c r="D17" s="2">
        <v>3096</v>
      </c>
      <c r="E17" s="2">
        <v>3260</v>
      </c>
      <c r="F17" s="2">
        <v>3159</v>
      </c>
      <c r="G17" s="2">
        <v>3286</v>
      </c>
      <c r="H17" s="2">
        <v>3233</v>
      </c>
      <c r="I17" s="2">
        <v>3416</v>
      </c>
      <c r="J17" s="2">
        <v>3534</v>
      </c>
      <c r="K17" s="2">
        <v>3723</v>
      </c>
      <c r="L17" s="2">
        <v>3912</v>
      </c>
      <c r="M17" s="2">
        <v>4111</v>
      </c>
      <c r="N17" s="2">
        <v>3951</v>
      </c>
      <c r="O17" s="2">
        <v>4357</v>
      </c>
      <c r="P17" s="2">
        <v>4258</v>
      </c>
      <c r="Q17" s="2">
        <v>4390</v>
      </c>
      <c r="R17" s="2">
        <v>4508</v>
      </c>
      <c r="S17" s="2">
        <v>4713</v>
      </c>
      <c r="T17" s="2">
        <v>4732</v>
      </c>
      <c r="U17" s="2">
        <v>4866</v>
      </c>
      <c r="V17" s="2">
        <v>4738</v>
      </c>
      <c r="W17" s="2">
        <v>4897</v>
      </c>
      <c r="X17" s="2">
        <v>4567</v>
      </c>
      <c r="Y17" s="2">
        <v>4361</v>
      </c>
      <c r="Z17" s="2">
        <v>4034</v>
      </c>
      <c r="AA17" s="2">
        <v>3993</v>
      </c>
      <c r="AB17" s="2">
        <v>4005</v>
      </c>
      <c r="AC17" s="2">
        <v>3732</v>
      </c>
      <c r="AD17" s="2">
        <v>3851</v>
      </c>
      <c r="AE17" s="2">
        <v>3590</v>
      </c>
      <c r="AF17" s="2">
        <v>3580</v>
      </c>
      <c r="AG17" s="2">
        <v>3241</v>
      </c>
      <c r="AH17" s="2">
        <v>3157</v>
      </c>
      <c r="AI17" s="2">
        <v>3058</v>
      </c>
      <c r="AJ17" s="2">
        <v>2967</v>
      </c>
      <c r="AK17" s="2">
        <v>3045</v>
      </c>
      <c r="AL17" s="2">
        <v>3225</v>
      </c>
      <c r="AM17" s="2">
        <v>3315</v>
      </c>
      <c r="AN17" s="2">
        <v>3523</v>
      </c>
      <c r="AO17" s="2">
        <v>3526</v>
      </c>
      <c r="AP17" s="2">
        <v>3463</v>
      </c>
      <c r="AQ17" s="2">
        <v>3248</v>
      </c>
      <c r="AR17" s="2">
        <v>3609</v>
      </c>
      <c r="AS17" s="2">
        <v>3798</v>
      </c>
      <c r="AT17" s="2">
        <v>4299</v>
      </c>
      <c r="AU17" s="2">
        <v>4520</v>
      </c>
      <c r="AV17" s="2">
        <v>4473</v>
      </c>
      <c r="AW17" s="2">
        <v>4630</v>
      </c>
      <c r="AX17" s="2">
        <v>4462</v>
      </c>
      <c r="AY17" s="2">
        <v>4433</v>
      </c>
      <c r="AZ17" s="2">
        <v>4331</v>
      </c>
      <c r="BA17" s="2">
        <v>4186</v>
      </c>
      <c r="BB17" s="2">
        <v>3965</v>
      </c>
      <c r="BC17" s="2">
        <v>3828</v>
      </c>
      <c r="BD17" s="2">
        <v>3559</v>
      </c>
      <c r="BE17" s="2">
        <v>3433</v>
      </c>
      <c r="BF17" s="2">
        <v>3268</v>
      </c>
      <c r="BG17" s="2">
        <v>3108</v>
      </c>
      <c r="BH17" s="2">
        <v>2807</v>
      </c>
      <c r="BI17" s="2">
        <v>2625</v>
      </c>
      <c r="BJ17" s="2">
        <v>2330</v>
      </c>
      <c r="BK17" s="2">
        <v>2325</v>
      </c>
      <c r="BL17" s="2">
        <v>2081</v>
      </c>
      <c r="BM17" s="2">
        <v>2039</v>
      </c>
      <c r="BN17" s="2">
        <v>2053</v>
      </c>
      <c r="BO17" s="2">
        <v>1179</v>
      </c>
      <c r="BP17" s="2">
        <v>991</v>
      </c>
      <c r="BQ17" s="2">
        <v>1244</v>
      </c>
      <c r="BR17" s="2">
        <v>1009</v>
      </c>
      <c r="BS17" s="2">
        <v>973</v>
      </c>
      <c r="BT17" s="2">
        <v>1108</v>
      </c>
      <c r="BU17" s="2">
        <v>1112</v>
      </c>
      <c r="BV17" s="2">
        <v>1129</v>
      </c>
      <c r="BW17" s="2">
        <v>922</v>
      </c>
      <c r="BX17" s="2">
        <v>680</v>
      </c>
      <c r="BY17" s="2">
        <v>888</v>
      </c>
      <c r="BZ17" s="2">
        <v>1117</v>
      </c>
      <c r="CA17" s="2">
        <v>953</v>
      </c>
      <c r="CB17" s="2">
        <v>740</v>
      </c>
      <c r="CC17" s="2">
        <v>637</v>
      </c>
      <c r="CD17" s="2">
        <v>501</v>
      </c>
      <c r="CE17" s="2">
        <v>536</v>
      </c>
      <c r="CF17" s="2">
        <v>472</v>
      </c>
      <c r="CG17" s="2">
        <v>426</v>
      </c>
      <c r="CH17" s="2">
        <v>376</v>
      </c>
      <c r="CI17" s="2">
        <v>201</v>
      </c>
      <c r="CJ17" s="2">
        <v>230</v>
      </c>
      <c r="CK17" s="2">
        <v>164</v>
      </c>
      <c r="CL17" s="2">
        <v>179</v>
      </c>
      <c r="CM17" s="2">
        <v>163</v>
      </c>
      <c r="CN17" s="2">
        <v>76</v>
      </c>
      <c r="CO17" s="2">
        <v>66</v>
      </c>
      <c r="CP17" s="2">
        <v>54</v>
      </c>
      <c r="CQ17" s="2">
        <v>55</v>
      </c>
      <c r="CR17" s="2">
        <v>40</v>
      </c>
      <c r="CS17" s="2">
        <v>10</v>
      </c>
      <c r="CT17" s="2">
        <v>13</v>
      </c>
      <c r="CU17" s="2">
        <v>10</v>
      </c>
      <c r="CV17" s="2">
        <v>14</v>
      </c>
      <c r="CW17" s="2">
        <v>12</v>
      </c>
      <c r="CX17" s="2">
        <v>4</v>
      </c>
      <c r="CY17" s="2">
        <v>10</v>
      </c>
    </row>
    <row r="18" spans="1:103" x14ac:dyDescent="0.45">
      <c r="A18" s="2" t="s">
        <v>7</v>
      </c>
      <c r="B18" s="2">
        <v>0</v>
      </c>
      <c r="C18" s="2">
        <v>1447</v>
      </c>
      <c r="D18" s="2">
        <v>2236</v>
      </c>
      <c r="E18" s="2">
        <v>2739</v>
      </c>
      <c r="F18" s="2">
        <v>2874</v>
      </c>
      <c r="G18" s="2">
        <v>2820</v>
      </c>
      <c r="H18" s="2">
        <v>2698</v>
      </c>
      <c r="I18" s="2">
        <v>2782</v>
      </c>
      <c r="J18" s="2">
        <v>2634</v>
      </c>
      <c r="K18" s="2">
        <v>2630</v>
      </c>
      <c r="L18" s="2">
        <v>2569</v>
      </c>
      <c r="M18" s="2">
        <v>2581</v>
      </c>
      <c r="N18" s="2">
        <v>2434</v>
      </c>
      <c r="O18" s="2">
        <v>2388</v>
      </c>
      <c r="P18" s="2">
        <v>2326</v>
      </c>
      <c r="Q18" s="2">
        <v>2291</v>
      </c>
      <c r="R18" s="2">
        <v>2301</v>
      </c>
      <c r="S18" s="2">
        <v>2311</v>
      </c>
      <c r="T18" s="2">
        <v>2336</v>
      </c>
      <c r="U18" s="2">
        <v>2176</v>
      </c>
      <c r="V18" s="2">
        <v>2190</v>
      </c>
      <c r="W18" s="2">
        <v>2171</v>
      </c>
      <c r="X18" s="2">
        <v>2158</v>
      </c>
      <c r="Y18" s="2">
        <v>2120</v>
      </c>
      <c r="Z18" s="2">
        <v>2101</v>
      </c>
      <c r="AA18" s="2">
        <v>2071</v>
      </c>
      <c r="AB18" s="2">
        <v>2186</v>
      </c>
      <c r="AC18" s="2">
        <v>2314</v>
      </c>
      <c r="AD18" s="2">
        <v>2680</v>
      </c>
      <c r="AE18" s="2">
        <v>3037</v>
      </c>
      <c r="AF18" s="2">
        <v>3364</v>
      </c>
      <c r="AG18" s="2">
        <v>3554</v>
      </c>
      <c r="AH18" s="2">
        <v>3665</v>
      </c>
      <c r="AI18" s="2">
        <v>3806</v>
      </c>
      <c r="AJ18" s="2">
        <v>4055</v>
      </c>
      <c r="AK18" s="2">
        <v>3910</v>
      </c>
      <c r="AL18" s="2">
        <v>4195</v>
      </c>
      <c r="AM18" s="2">
        <v>4027</v>
      </c>
      <c r="AN18" s="2">
        <v>4034</v>
      </c>
      <c r="AO18" s="2">
        <v>4132</v>
      </c>
      <c r="AP18" s="2">
        <v>3911</v>
      </c>
      <c r="AQ18" s="2">
        <v>3636</v>
      </c>
      <c r="AR18" s="2">
        <v>3564</v>
      </c>
      <c r="AS18" s="2">
        <v>3412</v>
      </c>
      <c r="AT18" s="2">
        <v>3433</v>
      </c>
      <c r="AU18" s="2">
        <v>3337</v>
      </c>
      <c r="AV18" s="2">
        <v>3146</v>
      </c>
      <c r="AW18" s="2">
        <v>3140</v>
      </c>
      <c r="AX18" s="2">
        <v>2864</v>
      </c>
      <c r="AY18" s="2">
        <v>2776</v>
      </c>
      <c r="AZ18" s="2">
        <v>2773</v>
      </c>
      <c r="BA18" s="2">
        <v>2743</v>
      </c>
      <c r="BB18" s="2">
        <v>2556</v>
      </c>
      <c r="BC18" s="2">
        <v>2390</v>
      </c>
      <c r="BD18" s="2">
        <v>2133</v>
      </c>
      <c r="BE18" s="2">
        <v>2106</v>
      </c>
      <c r="BF18" s="2">
        <v>1848</v>
      </c>
      <c r="BG18" s="2">
        <v>1757</v>
      </c>
      <c r="BH18" s="2">
        <v>1745</v>
      </c>
      <c r="BI18" s="2">
        <v>1541</v>
      </c>
      <c r="BJ18" s="2">
        <v>1369</v>
      </c>
      <c r="BK18" s="2">
        <v>1451</v>
      </c>
      <c r="BL18" s="2">
        <v>1284</v>
      </c>
      <c r="BM18" s="2">
        <v>1247</v>
      </c>
      <c r="BN18" s="2">
        <v>1212</v>
      </c>
      <c r="BO18" s="2">
        <v>734</v>
      </c>
      <c r="BP18" s="2">
        <v>613</v>
      </c>
      <c r="BQ18" s="2">
        <v>653</v>
      </c>
      <c r="BR18" s="2">
        <v>573</v>
      </c>
      <c r="BS18" s="2">
        <v>655</v>
      </c>
      <c r="BT18" s="2">
        <v>638</v>
      </c>
      <c r="BU18" s="2">
        <v>656</v>
      </c>
      <c r="BV18" s="2">
        <v>504</v>
      </c>
      <c r="BW18" s="2">
        <v>434</v>
      </c>
      <c r="BX18" s="2">
        <v>390</v>
      </c>
      <c r="BY18" s="2">
        <v>398</v>
      </c>
      <c r="BZ18" s="2">
        <v>418</v>
      </c>
      <c r="CA18" s="2">
        <v>398</v>
      </c>
      <c r="CB18" s="2">
        <v>439</v>
      </c>
      <c r="CC18" s="2">
        <v>410</v>
      </c>
      <c r="CD18" s="2">
        <v>378</v>
      </c>
      <c r="CE18" s="2">
        <v>369</v>
      </c>
      <c r="CF18" s="2">
        <v>328</v>
      </c>
      <c r="CG18" s="2">
        <v>257</v>
      </c>
      <c r="CH18" s="2">
        <v>228</v>
      </c>
      <c r="CI18" s="2">
        <v>224</v>
      </c>
      <c r="CJ18" s="2">
        <v>181</v>
      </c>
      <c r="CK18" s="2">
        <v>149</v>
      </c>
      <c r="CL18" s="2">
        <v>99</v>
      </c>
      <c r="CM18" s="2">
        <v>93</v>
      </c>
      <c r="CN18" s="2">
        <v>60</v>
      </c>
      <c r="CO18" s="2">
        <v>54</v>
      </c>
      <c r="CP18" s="2">
        <v>57</v>
      </c>
      <c r="CQ18" s="2">
        <v>44</v>
      </c>
      <c r="CR18" s="2">
        <v>32</v>
      </c>
      <c r="CS18" s="2">
        <v>35</v>
      </c>
      <c r="CT18" s="2">
        <v>23</v>
      </c>
      <c r="CU18" s="2">
        <v>17</v>
      </c>
      <c r="CV18" s="2">
        <v>9</v>
      </c>
      <c r="CW18" s="2">
        <v>19</v>
      </c>
      <c r="CX18" s="2">
        <v>4</v>
      </c>
      <c r="CY18" s="2">
        <v>37</v>
      </c>
    </row>
    <row r="19" spans="1:103" x14ac:dyDescent="0.45">
      <c r="A19" s="2" t="s">
        <v>8</v>
      </c>
      <c r="B19" s="2">
        <v>0</v>
      </c>
      <c r="C19" s="2">
        <v>1480</v>
      </c>
      <c r="D19" s="2">
        <v>2274</v>
      </c>
      <c r="E19" s="2">
        <v>2812</v>
      </c>
      <c r="F19" s="2">
        <v>2888</v>
      </c>
      <c r="G19" s="2">
        <v>2855</v>
      </c>
      <c r="H19" s="2">
        <v>2812</v>
      </c>
      <c r="I19" s="2">
        <v>2697</v>
      </c>
      <c r="J19" s="2">
        <v>2668</v>
      </c>
      <c r="K19" s="2">
        <v>2571</v>
      </c>
      <c r="L19" s="2">
        <v>2494</v>
      </c>
      <c r="M19" s="2">
        <v>2416</v>
      </c>
      <c r="N19" s="2">
        <v>2458</v>
      </c>
      <c r="O19" s="2">
        <v>2421</v>
      </c>
      <c r="P19" s="2">
        <v>2339</v>
      </c>
      <c r="Q19" s="2">
        <v>2292</v>
      </c>
      <c r="R19" s="2">
        <v>2265</v>
      </c>
      <c r="S19" s="2">
        <v>2357</v>
      </c>
      <c r="T19" s="2">
        <v>2273</v>
      </c>
      <c r="U19" s="2">
        <v>2293</v>
      </c>
      <c r="V19" s="2">
        <v>2267</v>
      </c>
      <c r="W19" s="2">
        <v>2192</v>
      </c>
      <c r="X19" s="2">
        <v>2154</v>
      </c>
      <c r="Y19" s="2">
        <v>2265</v>
      </c>
      <c r="Z19" s="2">
        <v>2168</v>
      </c>
      <c r="AA19" s="2">
        <v>2288</v>
      </c>
      <c r="AB19" s="2">
        <v>2683</v>
      </c>
      <c r="AC19" s="2">
        <v>2797</v>
      </c>
      <c r="AD19" s="2">
        <v>3236</v>
      </c>
      <c r="AE19" s="2">
        <v>3366</v>
      </c>
      <c r="AF19" s="2">
        <v>3663</v>
      </c>
      <c r="AG19" s="2">
        <v>3778</v>
      </c>
      <c r="AH19" s="2">
        <v>3553</v>
      </c>
      <c r="AI19" s="2">
        <v>3414</v>
      </c>
      <c r="AJ19" s="2">
        <v>3396</v>
      </c>
      <c r="AK19" s="2">
        <v>3284</v>
      </c>
      <c r="AL19" s="2">
        <v>3198</v>
      </c>
      <c r="AM19" s="2">
        <v>3089</v>
      </c>
      <c r="AN19" s="2">
        <v>2962</v>
      </c>
      <c r="AO19" s="2">
        <v>2840</v>
      </c>
      <c r="AP19" s="2">
        <v>2697</v>
      </c>
      <c r="AQ19" s="2">
        <v>2547</v>
      </c>
      <c r="AR19" s="2">
        <v>2529</v>
      </c>
      <c r="AS19" s="2">
        <v>2502</v>
      </c>
      <c r="AT19" s="2">
        <v>2545</v>
      </c>
      <c r="AU19" s="2">
        <v>2588</v>
      </c>
      <c r="AV19" s="2">
        <v>2533</v>
      </c>
      <c r="AW19" s="2">
        <v>2594</v>
      </c>
      <c r="AX19" s="2">
        <v>2555</v>
      </c>
      <c r="AY19" s="2">
        <v>2448</v>
      </c>
      <c r="AZ19" s="2">
        <v>2422</v>
      </c>
      <c r="BA19" s="2">
        <v>2363</v>
      </c>
      <c r="BB19" s="2">
        <v>2152</v>
      </c>
      <c r="BC19" s="2">
        <v>2100</v>
      </c>
      <c r="BD19" s="2">
        <v>1965</v>
      </c>
      <c r="BE19" s="2">
        <v>1935</v>
      </c>
      <c r="BF19" s="2">
        <v>1848</v>
      </c>
      <c r="BG19" s="2">
        <v>1697</v>
      </c>
      <c r="BH19" s="2">
        <v>1544</v>
      </c>
      <c r="BI19" s="2">
        <v>1540</v>
      </c>
      <c r="BJ19" s="2">
        <v>1419</v>
      </c>
      <c r="BK19" s="2">
        <v>1449</v>
      </c>
      <c r="BL19" s="2">
        <v>1390</v>
      </c>
      <c r="BM19" s="2">
        <v>1220</v>
      </c>
      <c r="BN19" s="2">
        <v>1273</v>
      </c>
      <c r="BO19" s="2">
        <v>749</v>
      </c>
      <c r="BP19" s="2">
        <v>648</v>
      </c>
      <c r="BQ19" s="2">
        <v>653</v>
      </c>
      <c r="BR19" s="2">
        <v>603</v>
      </c>
      <c r="BS19" s="2">
        <v>674</v>
      </c>
      <c r="BT19" s="2">
        <v>666</v>
      </c>
      <c r="BU19" s="2">
        <v>714</v>
      </c>
      <c r="BV19" s="2">
        <v>657</v>
      </c>
      <c r="BW19" s="2">
        <v>592</v>
      </c>
      <c r="BX19" s="2">
        <v>515</v>
      </c>
      <c r="BY19" s="2">
        <v>514</v>
      </c>
      <c r="BZ19" s="2">
        <v>531</v>
      </c>
      <c r="CA19" s="2">
        <v>423</v>
      </c>
      <c r="CB19" s="2">
        <v>403</v>
      </c>
      <c r="CC19" s="2">
        <v>358</v>
      </c>
      <c r="CD19" s="2">
        <v>289</v>
      </c>
      <c r="CE19" s="2">
        <v>309</v>
      </c>
      <c r="CF19" s="2">
        <v>251</v>
      </c>
      <c r="CG19" s="2">
        <v>236</v>
      </c>
      <c r="CH19" s="2">
        <v>185</v>
      </c>
      <c r="CI19" s="2">
        <v>128</v>
      </c>
      <c r="CJ19" s="2">
        <v>121</v>
      </c>
      <c r="CK19" s="2">
        <v>98</v>
      </c>
      <c r="CL19" s="2">
        <v>100</v>
      </c>
      <c r="CM19" s="2">
        <v>64</v>
      </c>
      <c r="CN19" s="2">
        <v>46</v>
      </c>
      <c r="CO19" s="2">
        <v>36</v>
      </c>
      <c r="CP19" s="2">
        <v>30</v>
      </c>
      <c r="CQ19" s="2">
        <v>22</v>
      </c>
      <c r="CR19" s="2">
        <v>23</v>
      </c>
      <c r="CS19" s="2">
        <v>7</v>
      </c>
      <c r="CT19" s="2">
        <v>6</v>
      </c>
      <c r="CU19" s="2">
        <v>6</v>
      </c>
      <c r="CV19" s="2">
        <v>5</v>
      </c>
      <c r="CW19" s="2">
        <v>8</v>
      </c>
      <c r="CX19" s="2">
        <v>2</v>
      </c>
      <c r="CY19" s="2">
        <v>7</v>
      </c>
    </row>
    <row r="20" spans="1:103" x14ac:dyDescent="0.45">
      <c r="A20" s="2" t="s">
        <v>9</v>
      </c>
      <c r="B20" s="2">
        <v>0</v>
      </c>
      <c r="C20" s="2">
        <v>540</v>
      </c>
      <c r="D20" s="2">
        <v>945</v>
      </c>
      <c r="E20" s="2">
        <v>1052</v>
      </c>
      <c r="F20" s="2">
        <v>1066</v>
      </c>
      <c r="G20" s="2">
        <v>986</v>
      </c>
      <c r="H20" s="2">
        <v>1046</v>
      </c>
      <c r="I20" s="2">
        <v>1076</v>
      </c>
      <c r="J20" s="2">
        <v>997</v>
      </c>
      <c r="K20" s="2">
        <v>974</v>
      </c>
      <c r="L20" s="2">
        <v>974</v>
      </c>
      <c r="M20" s="2">
        <v>939</v>
      </c>
      <c r="N20" s="2">
        <v>861</v>
      </c>
      <c r="O20" s="2">
        <v>836</v>
      </c>
      <c r="P20" s="2">
        <v>768</v>
      </c>
      <c r="Q20" s="2">
        <v>708</v>
      </c>
      <c r="R20" s="2">
        <v>653</v>
      </c>
      <c r="S20" s="2">
        <v>584</v>
      </c>
      <c r="T20" s="2">
        <v>552</v>
      </c>
      <c r="U20" s="2">
        <v>488</v>
      </c>
      <c r="V20" s="2">
        <v>505</v>
      </c>
      <c r="W20" s="2">
        <v>458</v>
      </c>
      <c r="X20" s="2">
        <v>466</v>
      </c>
      <c r="Y20" s="2">
        <v>420</v>
      </c>
      <c r="Z20" s="2">
        <v>390</v>
      </c>
      <c r="AA20" s="2">
        <v>441</v>
      </c>
      <c r="AB20" s="2">
        <v>531</v>
      </c>
      <c r="AC20" s="2">
        <v>623</v>
      </c>
      <c r="AD20" s="2">
        <v>667</v>
      </c>
      <c r="AE20" s="2">
        <v>928</v>
      </c>
      <c r="AF20" s="2">
        <v>1077</v>
      </c>
      <c r="AG20" s="2">
        <v>1249</v>
      </c>
      <c r="AH20" s="2">
        <v>1263</v>
      </c>
      <c r="AI20" s="2">
        <v>1294</v>
      </c>
      <c r="AJ20" s="2">
        <v>1457</v>
      </c>
      <c r="AK20" s="2">
        <v>1493</v>
      </c>
      <c r="AL20" s="2">
        <v>1559</v>
      </c>
      <c r="AM20" s="2">
        <v>1549</v>
      </c>
      <c r="AN20" s="2">
        <v>1654</v>
      </c>
      <c r="AO20" s="2">
        <v>1618</v>
      </c>
      <c r="AP20" s="2">
        <v>1556</v>
      </c>
      <c r="AQ20" s="2">
        <v>1549</v>
      </c>
      <c r="AR20" s="2">
        <v>1307</v>
      </c>
      <c r="AS20" s="2">
        <v>1445</v>
      </c>
      <c r="AT20" s="2">
        <v>1338</v>
      </c>
      <c r="AU20" s="2">
        <v>1339</v>
      </c>
      <c r="AV20" s="2">
        <v>1219</v>
      </c>
      <c r="AW20" s="2">
        <v>1158</v>
      </c>
      <c r="AX20" s="2">
        <v>1131</v>
      </c>
      <c r="AY20" s="2">
        <v>1009</v>
      </c>
      <c r="AZ20" s="2">
        <v>934</v>
      </c>
      <c r="BA20" s="2">
        <v>873</v>
      </c>
      <c r="BB20" s="2">
        <v>770</v>
      </c>
      <c r="BC20" s="2">
        <v>743</v>
      </c>
      <c r="BD20" s="2">
        <v>669</v>
      </c>
      <c r="BE20" s="2">
        <v>638</v>
      </c>
      <c r="BF20" s="2">
        <v>580</v>
      </c>
      <c r="BG20" s="2">
        <v>533</v>
      </c>
      <c r="BH20" s="2">
        <v>483</v>
      </c>
      <c r="BI20" s="2">
        <v>439</v>
      </c>
      <c r="BJ20" s="2">
        <v>430</v>
      </c>
      <c r="BK20" s="2">
        <v>442</v>
      </c>
      <c r="BL20" s="2">
        <v>368</v>
      </c>
      <c r="BM20" s="2">
        <v>389</v>
      </c>
      <c r="BN20" s="2">
        <v>372</v>
      </c>
      <c r="BO20" s="2">
        <v>232</v>
      </c>
      <c r="BP20" s="2">
        <v>199</v>
      </c>
      <c r="BQ20" s="2">
        <v>184</v>
      </c>
      <c r="BR20" s="2">
        <v>169</v>
      </c>
      <c r="BS20" s="2">
        <v>139</v>
      </c>
      <c r="BT20" s="2">
        <v>142</v>
      </c>
      <c r="BU20" s="2">
        <v>153</v>
      </c>
      <c r="BV20" s="2">
        <v>119</v>
      </c>
      <c r="BW20" s="2">
        <v>118</v>
      </c>
      <c r="BX20" s="2">
        <v>106</v>
      </c>
      <c r="BY20" s="2">
        <v>98</v>
      </c>
      <c r="BZ20" s="2">
        <v>80</v>
      </c>
      <c r="CA20" s="2">
        <v>83</v>
      </c>
      <c r="CB20" s="2">
        <v>85</v>
      </c>
      <c r="CC20" s="2">
        <v>68</v>
      </c>
      <c r="CD20" s="2">
        <v>74</v>
      </c>
      <c r="CE20" s="2">
        <v>67</v>
      </c>
      <c r="CF20" s="2">
        <v>59</v>
      </c>
      <c r="CG20" s="2">
        <v>39</v>
      </c>
      <c r="CH20" s="2">
        <v>40</v>
      </c>
      <c r="CI20" s="2">
        <v>32</v>
      </c>
      <c r="CJ20" s="2">
        <v>31</v>
      </c>
      <c r="CK20" s="2">
        <v>26</v>
      </c>
      <c r="CL20" s="2">
        <v>18</v>
      </c>
      <c r="CM20" s="2">
        <v>19</v>
      </c>
      <c r="CN20" s="2">
        <v>11</v>
      </c>
      <c r="CO20" s="2">
        <v>8</v>
      </c>
      <c r="CP20" s="2">
        <v>11</v>
      </c>
      <c r="CQ20" s="2">
        <v>7</v>
      </c>
      <c r="CR20" s="2">
        <v>2</v>
      </c>
      <c r="CS20" s="2">
        <v>4</v>
      </c>
      <c r="CT20" s="2">
        <v>1</v>
      </c>
      <c r="CU20" s="2">
        <v>2</v>
      </c>
      <c r="CV20" s="2">
        <v>1</v>
      </c>
      <c r="CW20" s="2">
        <v>2</v>
      </c>
      <c r="CX20" s="2">
        <v>2</v>
      </c>
      <c r="CY20" s="2">
        <v>6</v>
      </c>
    </row>
    <row r="21" spans="1:103" x14ac:dyDescent="0.45">
      <c r="A21" s="2" t="s">
        <v>10</v>
      </c>
      <c r="B21" s="2">
        <v>0</v>
      </c>
      <c r="C21" s="2">
        <v>524</v>
      </c>
      <c r="D21" s="2">
        <v>1047</v>
      </c>
      <c r="E21" s="2">
        <v>1118</v>
      </c>
      <c r="F21" s="2">
        <v>1105</v>
      </c>
      <c r="G21" s="2">
        <v>1108</v>
      </c>
      <c r="H21" s="2">
        <v>1098</v>
      </c>
      <c r="I21" s="2">
        <v>1063</v>
      </c>
      <c r="J21" s="2">
        <v>1053</v>
      </c>
      <c r="K21" s="2">
        <v>1030</v>
      </c>
      <c r="L21" s="2">
        <v>1067</v>
      </c>
      <c r="M21" s="2">
        <v>961</v>
      </c>
      <c r="N21" s="2">
        <v>1004</v>
      </c>
      <c r="O21" s="2">
        <v>962</v>
      </c>
      <c r="P21" s="2">
        <v>878</v>
      </c>
      <c r="Q21" s="2">
        <v>824</v>
      </c>
      <c r="R21" s="2">
        <v>750</v>
      </c>
      <c r="S21" s="2">
        <v>670</v>
      </c>
      <c r="T21" s="2">
        <v>687</v>
      </c>
      <c r="U21" s="2">
        <v>714</v>
      </c>
      <c r="V21" s="2">
        <v>612</v>
      </c>
      <c r="W21" s="2">
        <v>550</v>
      </c>
      <c r="X21" s="2">
        <v>608</v>
      </c>
      <c r="Y21" s="2">
        <v>628</v>
      </c>
      <c r="Z21" s="2">
        <v>612</v>
      </c>
      <c r="AA21" s="2">
        <v>699</v>
      </c>
      <c r="AB21" s="2">
        <v>883</v>
      </c>
      <c r="AC21" s="2">
        <v>1079</v>
      </c>
      <c r="AD21" s="2">
        <v>1235</v>
      </c>
      <c r="AE21" s="2">
        <v>1410</v>
      </c>
      <c r="AF21" s="2">
        <v>1656</v>
      </c>
      <c r="AG21" s="2">
        <v>1685</v>
      </c>
      <c r="AH21" s="2">
        <v>1820</v>
      </c>
      <c r="AI21" s="2">
        <v>1803</v>
      </c>
      <c r="AJ21" s="2">
        <v>1905</v>
      </c>
      <c r="AK21" s="2">
        <v>1817</v>
      </c>
      <c r="AL21" s="2">
        <v>1894</v>
      </c>
      <c r="AM21" s="2">
        <v>1847</v>
      </c>
      <c r="AN21" s="2">
        <v>1804</v>
      </c>
      <c r="AO21" s="2">
        <v>1764</v>
      </c>
      <c r="AP21" s="2">
        <v>1735</v>
      </c>
      <c r="AQ21" s="2">
        <v>1637</v>
      </c>
      <c r="AR21" s="2">
        <v>1518</v>
      </c>
      <c r="AS21" s="2">
        <v>1350</v>
      </c>
      <c r="AT21" s="2">
        <v>1369</v>
      </c>
      <c r="AU21" s="2">
        <v>1194</v>
      </c>
      <c r="AV21" s="2">
        <v>1088</v>
      </c>
      <c r="AW21" s="2">
        <v>1041</v>
      </c>
      <c r="AX21" s="2">
        <v>946</v>
      </c>
      <c r="AY21" s="2">
        <v>864</v>
      </c>
      <c r="AZ21" s="2">
        <v>840</v>
      </c>
      <c r="BA21" s="2">
        <v>781</v>
      </c>
      <c r="BB21" s="2">
        <v>669</v>
      </c>
      <c r="BC21" s="2">
        <v>581</v>
      </c>
      <c r="BD21" s="2">
        <v>551</v>
      </c>
      <c r="BE21" s="2">
        <v>472</v>
      </c>
      <c r="BF21" s="2">
        <v>456</v>
      </c>
      <c r="BG21" s="2">
        <v>395</v>
      </c>
      <c r="BH21" s="2">
        <v>367</v>
      </c>
      <c r="BI21" s="2">
        <v>328</v>
      </c>
      <c r="BJ21" s="2">
        <v>265</v>
      </c>
      <c r="BK21" s="2">
        <v>310</v>
      </c>
      <c r="BL21" s="2">
        <v>261</v>
      </c>
      <c r="BM21" s="2">
        <v>266</v>
      </c>
      <c r="BN21" s="2">
        <v>258</v>
      </c>
      <c r="BO21" s="2">
        <v>147</v>
      </c>
      <c r="BP21" s="2">
        <v>108</v>
      </c>
      <c r="BQ21" s="2">
        <v>108</v>
      </c>
      <c r="BR21" s="2">
        <v>135</v>
      </c>
      <c r="BS21" s="2">
        <v>124</v>
      </c>
      <c r="BT21" s="2">
        <v>130</v>
      </c>
      <c r="BU21" s="2">
        <v>131</v>
      </c>
      <c r="BV21" s="2">
        <v>122</v>
      </c>
      <c r="BW21" s="2">
        <v>104</v>
      </c>
      <c r="BX21" s="2">
        <v>118</v>
      </c>
      <c r="BY21" s="2">
        <v>114</v>
      </c>
      <c r="BZ21" s="2">
        <v>107</v>
      </c>
      <c r="CA21" s="2">
        <v>104</v>
      </c>
      <c r="CB21" s="2">
        <v>86</v>
      </c>
      <c r="CC21" s="2">
        <v>77</v>
      </c>
      <c r="CD21" s="2">
        <v>104</v>
      </c>
      <c r="CE21" s="2">
        <v>74</v>
      </c>
      <c r="CF21" s="2">
        <v>77</v>
      </c>
      <c r="CG21" s="2">
        <v>70</v>
      </c>
      <c r="CH21" s="2">
        <v>65</v>
      </c>
      <c r="CI21" s="2">
        <v>36</v>
      </c>
      <c r="CJ21" s="2">
        <v>31</v>
      </c>
      <c r="CK21" s="2">
        <v>35</v>
      </c>
      <c r="CL21" s="2">
        <v>31</v>
      </c>
      <c r="CM21" s="2">
        <v>34</v>
      </c>
      <c r="CN21" s="2">
        <v>25</v>
      </c>
      <c r="CO21" s="2">
        <v>20</v>
      </c>
      <c r="CP21" s="2">
        <v>16</v>
      </c>
      <c r="CQ21" s="2">
        <v>14</v>
      </c>
      <c r="CR21" s="2">
        <v>8</v>
      </c>
      <c r="CS21" s="2">
        <v>10</v>
      </c>
      <c r="CT21" s="2">
        <v>7</v>
      </c>
      <c r="CU21" s="2">
        <v>10</v>
      </c>
      <c r="CV21" s="2">
        <v>4</v>
      </c>
      <c r="CW21" s="2">
        <v>7</v>
      </c>
      <c r="CX21" s="2">
        <v>4</v>
      </c>
      <c r="CY21" s="2">
        <v>3</v>
      </c>
    </row>
    <row r="22" spans="1:103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</row>
    <row r="23" spans="1:103" x14ac:dyDescent="0.45">
      <c r="A23" s="7" t="s">
        <v>142</v>
      </c>
      <c r="B23" s="8" t="s">
        <v>11</v>
      </c>
      <c r="C23" s="8" t="s">
        <v>12</v>
      </c>
      <c r="D23" s="8" t="s">
        <v>13</v>
      </c>
      <c r="E23" s="8" t="s">
        <v>14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  <c r="K23" s="8" t="s">
        <v>20</v>
      </c>
      <c r="L23" s="8" t="s">
        <v>21</v>
      </c>
      <c r="M23" s="8" t="s">
        <v>22</v>
      </c>
      <c r="N23" s="8" t="s">
        <v>23</v>
      </c>
      <c r="O23" s="8" t="s">
        <v>24</v>
      </c>
      <c r="P23" s="8" t="s">
        <v>25</v>
      </c>
      <c r="Q23" s="8" t="s">
        <v>26</v>
      </c>
      <c r="R23" s="8" t="s">
        <v>27</v>
      </c>
      <c r="S23" s="8" t="s">
        <v>28</v>
      </c>
      <c r="T23" s="8" t="s">
        <v>29</v>
      </c>
      <c r="U23" s="8" t="s">
        <v>30</v>
      </c>
      <c r="V23" s="8" t="s">
        <v>31</v>
      </c>
      <c r="W23" s="8" t="s">
        <v>32</v>
      </c>
      <c r="X23" s="8" t="s">
        <v>33</v>
      </c>
      <c r="Y23" s="8" t="s">
        <v>34</v>
      </c>
      <c r="Z23" s="8" t="s">
        <v>35</v>
      </c>
      <c r="AA23" s="8" t="s">
        <v>36</v>
      </c>
      <c r="AB23" s="8" t="s">
        <v>37</v>
      </c>
      <c r="AC23" s="8" t="s">
        <v>38</v>
      </c>
      <c r="AD23" s="8" t="s">
        <v>39</v>
      </c>
      <c r="AE23" s="8" t="s">
        <v>40</v>
      </c>
      <c r="AF23" s="8" t="s">
        <v>41</v>
      </c>
      <c r="AG23" s="8" t="s">
        <v>42</v>
      </c>
      <c r="AH23" s="8" t="s">
        <v>43</v>
      </c>
      <c r="AI23" s="8" t="s">
        <v>44</v>
      </c>
      <c r="AJ23" s="8" t="s">
        <v>45</v>
      </c>
      <c r="AK23" s="8" t="s">
        <v>46</v>
      </c>
      <c r="AL23" s="8" t="s">
        <v>47</v>
      </c>
      <c r="AM23" s="8" t="s">
        <v>48</v>
      </c>
      <c r="AN23" s="8" t="s">
        <v>49</v>
      </c>
      <c r="AO23" s="8" t="s">
        <v>50</v>
      </c>
      <c r="AP23" s="8" t="s">
        <v>51</v>
      </c>
      <c r="AQ23" s="8" t="s">
        <v>52</v>
      </c>
      <c r="AR23" s="8" t="s">
        <v>53</v>
      </c>
      <c r="AS23" s="8" t="s">
        <v>54</v>
      </c>
      <c r="AT23" s="8" t="s">
        <v>55</v>
      </c>
      <c r="AU23" s="8" t="s">
        <v>56</v>
      </c>
      <c r="AV23" s="8" t="s">
        <v>57</v>
      </c>
      <c r="AW23" s="8" t="s">
        <v>58</v>
      </c>
      <c r="AX23" s="8" t="s">
        <v>59</v>
      </c>
      <c r="AY23" s="8" t="s">
        <v>60</v>
      </c>
      <c r="AZ23" s="8" t="s">
        <v>61</v>
      </c>
      <c r="BA23" s="8" t="s">
        <v>62</v>
      </c>
      <c r="BB23" s="8" t="s">
        <v>63</v>
      </c>
      <c r="BC23" s="8" t="s">
        <v>64</v>
      </c>
      <c r="BD23" s="8" t="s">
        <v>65</v>
      </c>
      <c r="BE23" s="8" t="s">
        <v>66</v>
      </c>
      <c r="BF23" s="8" t="s">
        <v>67</v>
      </c>
      <c r="BG23" s="8" t="s">
        <v>68</v>
      </c>
      <c r="BH23" s="8" t="s">
        <v>69</v>
      </c>
      <c r="BI23" s="8" t="s">
        <v>70</v>
      </c>
      <c r="BJ23" s="8" t="s">
        <v>71</v>
      </c>
      <c r="BK23" s="8" t="s">
        <v>72</v>
      </c>
      <c r="BL23" s="8" t="s">
        <v>73</v>
      </c>
      <c r="BM23" s="8" t="s">
        <v>74</v>
      </c>
      <c r="BN23" s="8" t="s">
        <v>75</v>
      </c>
      <c r="BO23" s="8" t="s">
        <v>76</v>
      </c>
      <c r="BP23" s="8" t="s">
        <v>77</v>
      </c>
      <c r="BQ23" s="8" t="s">
        <v>78</v>
      </c>
      <c r="BR23" s="8" t="s">
        <v>79</v>
      </c>
      <c r="BS23" s="8" t="s">
        <v>80</v>
      </c>
      <c r="BT23" s="8" t="s">
        <v>81</v>
      </c>
      <c r="BU23" s="8" t="s">
        <v>82</v>
      </c>
      <c r="BV23" s="8" t="s">
        <v>83</v>
      </c>
      <c r="BW23" s="8" t="s">
        <v>84</v>
      </c>
      <c r="BX23" s="8" t="s">
        <v>85</v>
      </c>
      <c r="BY23" s="8" t="s">
        <v>86</v>
      </c>
      <c r="BZ23" s="8" t="s">
        <v>87</v>
      </c>
      <c r="CA23" s="8" t="s">
        <v>88</v>
      </c>
      <c r="CB23" s="8" t="s">
        <v>89</v>
      </c>
      <c r="CC23" s="8" t="s">
        <v>90</v>
      </c>
      <c r="CD23" s="8" t="s">
        <v>91</v>
      </c>
      <c r="CE23" s="8" t="s">
        <v>92</v>
      </c>
      <c r="CF23" s="8" t="s">
        <v>93</v>
      </c>
      <c r="CG23" s="8" t="s">
        <v>94</v>
      </c>
      <c r="CH23" s="8" t="s">
        <v>95</v>
      </c>
      <c r="CI23" s="8" t="s">
        <v>96</v>
      </c>
      <c r="CJ23" s="8" t="s">
        <v>97</v>
      </c>
      <c r="CK23" s="8" t="s">
        <v>98</v>
      </c>
      <c r="CL23" s="8" t="s">
        <v>99</v>
      </c>
      <c r="CM23" s="8" t="s">
        <v>100</v>
      </c>
      <c r="CN23" s="8" t="s">
        <v>101</v>
      </c>
      <c r="CO23" s="8" t="s">
        <v>102</v>
      </c>
      <c r="CP23" s="8" t="s">
        <v>103</v>
      </c>
      <c r="CQ23" s="8" t="s">
        <v>104</v>
      </c>
      <c r="CR23" s="8" t="s">
        <v>105</v>
      </c>
      <c r="CS23" s="8" t="s">
        <v>106</v>
      </c>
      <c r="CT23" s="8" t="s">
        <v>107</v>
      </c>
      <c r="CU23" s="8" t="s">
        <v>108</v>
      </c>
      <c r="CV23" s="8" t="s">
        <v>109</v>
      </c>
      <c r="CW23" s="8" t="s">
        <v>110</v>
      </c>
      <c r="CX23" s="8" t="s">
        <v>111</v>
      </c>
      <c r="CY23" s="8" t="s">
        <v>112</v>
      </c>
    </row>
    <row r="24" spans="1:103" x14ac:dyDescent="0.45">
      <c r="A24" s="2" t="s">
        <v>119</v>
      </c>
      <c r="B24" s="2">
        <v>0</v>
      </c>
      <c r="C24" s="4">
        <v>5.8999999999999999E-3</v>
      </c>
      <c r="D24" s="2">
        <f>C24</f>
        <v>5.8999999999999999E-3</v>
      </c>
      <c r="E24" s="2">
        <f t="shared" ref="E24:T24" si="0">D24</f>
        <v>5.8999999999999999E-3</v>
      </c>
      <c r="F24" s="2">
        <f t="shared" si="0"/>
        <v>5.8999999999999999E-3</v>
      </c>
      <c r="G24" s="2">
        <f t="shared" si="0"/>
        <v>5.8999999999999999E-3</v>
      </c>
      <c r="H24" s="2">
        <f t="shared" si="0"/>
        <v>5.8999999999999999E-3</v>
      </c>
      <c r="I24" s="2">
        <f t="shared" si="0"/>
        <v>5.8999999999999999E-3</v>
      </c>
      <c r="J24" s="2">
        <f t="shared" si="0"/>
        <v>5.8999999999999999E-3</v>
      </c>
      <c r="K24" s="2">
        <f t="shared" si="0"/>
        <v>5.8999999999999999E-3</v>
      </c>
      <c r="L24" s="2">
        <f t="shared" si="0"/>
        <v>5.8999999999999999E-3</v>
      </c>
      <c r="M24" s="2">
        <f t="shared" si="0"/>
        <v>5.8999999999999999E-3</v>
      </c>
      <c r="N24" s="2">
        <f t="shared" si="0"/>
        <v>5.8999999999999999E-3</v>
      </c>
      <c r="O24" s="2">
        <f t="shared" si="0"/>
        <v>5.8999999999999999E-3</v>
      </c>
      <c r="P24" s="2">
        <f t="shared" si="0"/>
        <v>5.8999999999999999E-3</v>
      </c>
      <c r="Q24" s="2">
        <f t="shared" si="0"/>
        <v>5.8999999999999999E-3</v>
      </c>
      <c r="R24" s="2">
        <f t="shared" si="0"/>
        <v>5.8999999999999999E-3</v>
      </c>
      <c r="S24" s="2">
        <f t="shared" si="0"/>
        <v>5.8999999999999999E-3</v>
      </c>
      <c r="T24" s="2">
        <f t="shared" si="0"/>
        <v>5.8999999999999999E-3</v>
      </c>
      <c r="U24" s="4">
        <v>5.8999999999999999E-3</v>
      </c>
      <c r="V24" s="2">
        <f>U24</f>
        <v>5.8999999999999999E-3</v>
      </c>
      <c r="W24" s="2">
        <f t="shared" ref="W24:BJ24" si="1">V24</f>
        <v>5.8999999999999999E-3</v>
      </c>
      <c r="X24" s="2">
        <f t="shared" si="1"/>
        <v>5.8999999999999999E-3</v>
      </c>
      <c r="Y24" s="2">
        <f t="shared" si="1"/>
        <v>5.8999999999999999E-3</v>
      </c>
      <c r="Z24" s="2">
        <f t="shared" si="1"/>
        <v>5.8999999999999999E-3</v>
      </c>
      <c r="AA24" s="2">
        <f t="shared" si="1"/>
        <v>5.8999999999999999E-3</v>
      </c>
      <c r="AB24" s="2">
        <f t="shared" si="1"/>
        <v>5.8999999999999999E-3</v>
      </c>
      <c r="AC24" s="2">
        <f t="shared" si="1"/>
        <v>5.8999999999999999E-3</v>
      </c>
      <c r="AD24" s="2">
        <f t="shared" si="1"/>
        <v>5.8999999999999999E-3</v>
      </c>
      <c r="AE24" s="2">
        <f t="shared" si="1"/>
        <v>5.8999999999999999E-3</v>
      </c>
      <c r="AF24" s="2">
        <f t="shared" si="1"/>
        <v>5.8999999999999999E-3</v>
      </c>
      <c r="AG24" s="2">
        <f t="shared" si="1"/>
        <v>5.8999999999999999E-3</v>
      </c>
      <c r="AH24" s="2">
        <f t="shared" si="1"/>
        <v>5.8999999999999999E-3</v>
      </c>
      <c r="AI24" s="2">
        <f t="shared" si="1"/>
        <v>5.8999999999999999E-3</v>
      </c>
      <c r="AJ24" s="2">
        <f t="shared" si="1"/>
        <v>5.8999999999999999E-3</v>
      </c>
      <c r="AK24" s="2">
        <f t="shared" si="1"/>
        <v>5.8999999999999999E-3</v>
      </c>
      <c r="AL24" s="2">
        <f t="shared" si="1"/>
        <v>5.8999999999999999E-3</v>
      </c>
      <c r="AM24" s="2">
        <f t="shared" si="1"/>
        <v>5.8999999999999999E-3</v>
      </c>
      <c r="AN24" s="2">
        <f t="shared" si="1"/>
        <v>5.8999999999999999E-3</v>
      </c>
      <c r="AO24" s="2">
        <f t="shared" si="1"/>
        <v>5.8999999999999999E-3</v>
      </c>
      <c r="AP24" s="2">
        <f t="shared" si="1"/>
        <v>5.8999999999999999E-3</v>
      </c>
      <c r="AQ24" s="2">
        <f t="shared" si="1"/>
        <v>5.8999999999999999E-3</v>
      </c>
      <c r="AR24" s="2">
        <f t="shared" si="1"/>
        <v>5.8999999999999999E-3</v>
      </c>
      <c r="AS24" s="2">
        <f t="shared" si="1"/>
        <v>5.8999999999999999E-3</v>
      </c>
      <c r="AT24" s="2">
        <f t="shared" si="1"/>
        <v>5.8999999999999999E-3</v>
      </c>
      <c r="AU24" s="2">
        <f t="shared" si="1"/>
        <v>5.8999999999999999E-3</v>
      </c>
      <c r="AV24" s="2">
        <f t="shared" si="1"/>
        <v>5.8999999999999999E-3</v>
      </c>
      <c r="AW24" s="2">
        <f t="shared" si="1"/>
        <v>5.8999999999999999E-3</v>
      </c>
      <c r="AX24" s="2">
        <f t="shared" si="1"/>
        <v>5.8999999999999999E-3</v>
      </c>
      <c r="AY24" s="2">
        <f t="shared" si="1"/>
        <v>5.8999999999999999E-3</v>
      </c>
      <c r="AZ24" s="2">
        <f t="shared" si="1"/>
        <v>5.8999999999999999E-3</v>
      </c>
      <c r="BA24" s="2">
        <v>0</v>
      </c>
      <c r="BB24" s="2">
        <f t="shared" si="1"/>
        <v>0</v>
      </c>
      <c r="BC24" s="2">
        <f t="shared" si="1"/>
        <v>0</v>
      </c>
      <c r="BD24" s="2">
        <f t="shared" si="1"/>
        <v>0</v>
      </c>
      <c r="BE24" s="2">
        <f t="shared" si="1"/>
        <v>0</v>
      </c>
      <c r="BF24" s="2">
        <f t="shared" si="1"/>
        <v>0</v>
      </c>
      <c r="BG24" s="2">
        <f t="shared" si="1"/>
        <v>0</v>
      </c>
      <c r="BH24" s="2">
        <f t="shared" si="1"/>
        <v>0</v>
      </c>
      <c r="BI24" s="2">
        <f t="shared" si="1"/>
        <v>0</v>
      </c>
      <c r="BJ24" s="2">
        <f t="shared" si="1"/>
        <v>0</v>
      </c>
      <c r="BK24" s="2">
        <v>0</v>
      </c>
      <c r="BL24" s="2">
        <f>BK24</f>
        <v>0</v>
      </c>
      <c r="BM24" s="2">
        <f t="shared" ref="BM24:CY24" si="2">BL24</f>
        <v>0</v>
      </c>
      <c r="BN24" s="2">
        <f t="shared" si="2"/>
        <v>0</v>
      </c>
      <c r="BO24" s="2">
        <f t="shared" si="2"/>
        <v>0</v>
      </c>
      <c r="BP24" s="2">
        <f t="shared" si="2"/>
        <v>0</v>
      </c>
      <c r="BQ24" s="2">
        <f t="shared" si="2"/>
        <v>0</v>
      </c>
      <c r="BR24" s="2">
        <f t="shared" si="2"/>
        <v>0</v>
      </c>
      <c r="BS24" s="2">
        <f t="shared" si="2"/>
        <v>0</v>
      </c>
      <c r="BT24" s="2">
        <f t="shared" si="2"/>
        <v>0</v>
      </c>
      <c r="BU24" s="2">
        <f t="shared" si="2"/>
        <v>0</v>
      </c>
      <c r="BV24" s="2">
        <f t="shared" si="2"/>
        <v>0</v>
      </c>
      <c r="BW24" s="2">
        <f t="shared" si="2"/>
        <v>0</v>
      </c>
      <c r="BX24" s="2">
        <f t="shared" si="2"/>
        <v>0</v>
      </c>
      <c r="BY24" s="2">
        <f t="shared" si="2"/>
        <v>0</v>
      </c>
      <c r="BZ24" s="2">
        <f t="shared" si="2"/>
        <v>0</v>
      </c>
      <c r="CA24" s="2">
        <f t="shared" si="2"/>
        <v>0</v>
      </c>
      <c r="CB24" s="2">
        <f t="shared" si="2"/>
        <v>0</v>
      </c>
      <c r="CC24" s="2">
        <f t="shared" si="2"/>
        <v>0</v>
      </c>
      <c r="CD24" s="2">
        <f t="shared" si="2"/>
        <v>0</v>
      </c>
      <c r="CE24" s="2">
        <f t="shared" si="2"/>
        <v>0</v>
      </c>
      <c r="CF24" s="2">
        <f t="shared" si="2"/>
        <v>0</v>
      </c>
      <c r="CG24" s="2">
        <f t="shared" si="2"/>
        <v>0</v>
      </c>
      <c r="CH24" s="2">
        <f t="shared" si="2"/>
        <v>0</v>
      </c>
      <c r="CI24" s="2">
        <f t="shared" si="2"/>
        <v>0</v>
      </c>
      <c r="CJ24" s="2">
        <f t="shared" si="2"/>
        <v>0</v>
      </c>
      <c r="CK24" s="2">
        <f t="shared" si="2"/>
        <v>0</v>
      </c>
      <c r="CL24" s="2">
        <f t="shared" si="2"/>
        <v>0</v>
      </c>
      <c r="CM24" s="2">
        <f t="shared" si="2"/>
        <v>0</v>
      </c>
      <c r="CN24" s="2">
        <f t="shared" si="2"/>
        <v>0</v>
      </c>
      <c r="CO24" s="2">
        <f t="shared" si="2"/>
        <v>0</v>
      </c>
      <c r="CP24" s="2">
        <f t="shared" si="2"/>
        <v>0</v>
      </c>
      <c r="CQ24" s="2">
        <f t="shared" si="2"/>
        <v>0</v>
      </c>
      <c r="CR24" s="2">
        <f t="shared" si="2"/>
        <v>0</v>
      </c>
      <c r="CS24" s="2">
        <f t="shared" si="2"/>
        <v>0</v>
      </c>
      <c r="CT24" s="2">
        <f t="shared" si="2"/>
        <v>0</v>
      </c>
      <c r="CU24" s="2">
        <f t="shared" si="2"/>
        <v>0</v>
      </c>
      <c r="CV24" s="2">
        <f t="shared" si="2"/>
        <v>0</v>
      </c>
      <c r="CW24" s="2">
        <f t="shared" si="2"/>
        <v>0</v>
      </c>
      <c r="CX24" s="2">
        <f t="shared" si="2"/>
        <v>0</v>
      </c>
      <c r="CY24" s="2">
        <f t="shared" si="2"/>
        <v>0</v>
      </c>
    </row>
    <row r="25" spans="1:103" x14ac:dyDescent="0.45">
      <c r="A25" s="2" t="s">
        <v>120</v>
      </c>
      <c r="B25" s="2">
        <v>0</v>
      </c>
      <c r="C25" s="2">
        <f>C24</f>
        <v>5.8999999999999999E-3</v>
      </c>
      <c r="D25" s="2">
        <f t="shared" ref="D25:T25" si="3">D24</f>
        <v>5.8999999999999999E-3</v>
      </c>
      <c r="E25" s="2">
        <f t="shared" si="3"/>
        <v>5.8999999999999999E-3</v>
      </c>
      <c r="F25" s="2">
        <f t="shared" si="3"/>
        <v>5.8999999999999999E-3</v>
      </c>
      <c r="G25" s="2">
        <f t="shared" si="3"/>
        <v>5.8999999999999999E-3</v>
      </c>
      <c r="H25" s="2">
        <f t="shared" si="3"/>
        <v>5.8999999999999999E-3</v>
      </c>
      <c r="I25" s="2">
        <f t="shared" si="3"/>
        <v>5.8999999999999999E-3</v>
      </c>
      <c r="J25" s="2">
        <f t="shared" si="3"/>
        <v>5.8999999999999999E-3</v>
      </c>
      <c r="K25" s="2">
        <f t="shared" si="3"/>
        <v>5.8999999999999999E-3</v>
      </c>
      <c r="L25" s="2">
        <f t="shared" si="3"/>
        <v>5.8999999999999999E-3</v>
      </c>
      <c r="M25" s="2">
        <f t="shared" si="3"/>
        <v>5.8999999999999999E-3</v>
      </c>
      <c r="N25" s="2">
        <f t="shared" si="3"/>
        <v>5.8999999999999999E-3</v>
      </c>
      <c r="O25" s="2">
        <f t="shared" si="3"/>
        <v>5.8999999999999999E-3</v>
      </c>
      <c r="P25" s="2">
        <f t="shared" si="3"/>
        <v>5.8999999999999999E-3</v>
      </c>
      <c r="Q25" s="2">
        <f t="shared" si="3"/>
        <v>5.8999999999999999E-3</v>
      </c>
      <c r="R25" s="2">
        <f t="shared" si="3"/>
        <v>5.8999999999999999E-3</v>
      </c>
      <c r="S25" s="2">
        <f t="shared" si="3"/>
        <v>5.8999999999999999E-3</v>
      </c>
      <c r="T25" s="2">
        <f t="shared" si="3"/>
        <v>5.8999999999999999E-3</v>
      </c>
      <c r="U25" s="2">
        <f>U24</f>
        <v>5.8999999999999999E-3</v>
      </c>
      <c r="V25" s="2">
        <f>U25</f>
        <v>5.8999999999999999E-3</v>
      </c>
      <c r="W25" s="2">
        <f t="shared" ref="W25:BJ31" si="4">V25</f>
        <v>5.8999999999999999E-3</v>
      </c>
      <c r="X25" s="2">
        <f t="shared" si="4"/>
        <v>5.8999999999999999E-3</v>
      </c>
      <c r="Y25" s="2">
        <f t="shared" si="4"/>
        <v>5.8999999999999999E-3</v>
      </c>
      <c r="Z25" s="2">
        <f t="shared" si="4"/>
        <v>5.8999999999999999E-3</v>
      </c>
      <c r="AA25" s="2">
        <f t="shared" si="4"/>
        <v>5.8999999999999999E-3</v>
      </c>
      <c r="AB25" s="2">
        <f t="shared" si="4"/>
        <v>5.8999999999999999E-3</v>
      </c>
      <c r="AC25" s="2">
        <f t="shared" si="4"/>
        <v>5.8999999999999999E-3</v>
      </c>
      <c r="AD25" s="2">
        <f t="shared" si="4"/>
        <v>5.8999999999999999E-3</v>
      </c>
      <c r="AE25" s="2">
        <f t="shared" si="4"/>
        <v>5.8999999999999999E-3</v>
      </c>
      <c r="AF25" s="2">
        <f t="shared" si="4"/>
        <v>5.8999999999999999E-3</v>
      </c>
      <c r="AG25" s="2">
        <f t="shared" si="4"/>
        <v>5.8999999999999999E-3</v>
      </c>
      <c r="AH25" s="2">
        <f t="shared" si="4"/>
        <v>5.8999999999999999E-3</v>
      </c>
      <c r="AI25" s="2">
        <f t="shared" si="4"/>
        <v>5.8999999999999999E-3</v>
      </c>
      <c r="AJ25" s="2">
        <f t="shared" si="4"/>
        <v>5.8999999999999999E-3</v>
      </c>
      <c r="AK25" s="2">
        <f t="shared" si="4"/>
        <v>5.8999999999999999E-3</v>
      </c>
      <c r="AL25" s="2">
        <f t="shared" si="4"/>
        <v>5.8999999999999999E-3</v>
      </c>
      <c r="AM25" s="2">
        <f t="shared" si="4"/>
        <v>5.8999999999999999E-3</v>
      </c>
      <c r="AN25" s="2">
        <f t="shared" si="4"/>
        <v>5.8999999999999999E-3</v>
      </c>
      <c r="AO25" s="2">
        <f t="shared" si="4"/>
        <v>5.8999999999999999E-3</v>
      </c>
      <c r="AP25" s="2">
        <f t="shared" si="4"/>
        <v>5.8999999999999999E-3</v>
      </c>
      <c r="AQ25" s="2">
        <f t="shared" si="4"/>
        <v>5.8999999999999999E-3</v>
      </c>
      <c r="AR25" s="2">
        <f t="shared" si="4"/>
        <v>5.8999999999999999E-3</v>
      </c>
      <c r="AS25" s="2">
        <f t="shared" si="4"/>
        <v>5.8999999999999999E-3</v>
      </c>
      <c r="AT25" s="2">
        <f t="shared" si="4"/>
        <v>5.8999999999999999E-3</v>
      </c>
      <c r="AU25" s="2">
        <f t="shared" si="4"/>
        <v>5.8999999999999999E-3</v>
      </c>
      <c r="AV25" s="2">
        <f t="shared" si="4"/>
        <v>5.8999999999999999E-3</v>
      </c>
      <c r="AW25" s="2">
        <f t="shared" si="4"/>
        <v>5.8999999999999999E-3</v>
      </c>
      <c r="AX25" s="2">
        <f t="shared" si="4"/>
        <v>5.8999999999999999E-3</v>
      </c>
      <c r="AY25" s="2">
        <f t="shared" ref="AY25:AY31" si="5">AX25</f>
        <v>5.8999999999999999E-3</v>
      </c>
      <c r="AZ25" s="2">
        <f t="shared" ref="AZ25:AZ31" si="6">AY25</f>
        <v>5.8999999999999999E-3</v>
      </c>
      <c r="BA25" s="2">
        <v>0</v>
      </c>
      <c r="BB25" s="2">
        <f t="shared" si="4"/>
        <v>0</v>
      </c>
      <c r="BC25" s="2">
        <f t="shared" si="4"/>
        <v>0</v>
      </c>
      <c r="BD25" s="2">
        <f t="shared" si="4"/>
        <v>0</v>
      </c>
      <c r="BE25" s="2">
        <f t="shared" si="4"/>
        <v>0</v>
      </c>
      <c r="BF25" s="2">
        <f t="shared" si="4"/>
        <v>0</v>
      </c>
      <c r="BG25" s="2">
        <f t="shared" si="4"/>
        <v>0</v>
      </c>
      <c r="BH25" s="2">
        <f t="shared" si="4"/>
        <v>0</v>
      </c>
      <c r="BI25" s="2">
        <f t="shared" si="4"/>
        <v>0</v>
      </c>
      <c r="BJ25" s="2">
        <f t="shared" si="4"/>
        <v>0</v>
      </c>
      <c r="BK25" s="2">
        <f>BK24</f>
        <v>0</v>
      </c>
      <c r="BL25" s="2">
        <f>BL24</f>
        <v>0</v>
      </c>
      <c r="BM25" s="2">
        <f t="shared" ref="BM25:CY31" si="7">BM24</f>
        <v>0</v>
      </c>
      <c r="BN25" s="2">
        <f t="shared" si="7"/>
        <v>0</v>
      </c>
      <c r="BO25" s="2">
        <f t="shared" si="7"/>
        <v>0</v>
      </c>
      <c r="BP25" s="2">
        <f t="shared" si="7"/>
        <v>0</v>
      </c>
      <c r="BQ25" s="2">
        <f t="shared" si="7"/>
        <v>0</v>
      </c>
      <c r="BR25" s="2">
        <f t="shared" si="7"/>
        <v>0</v>
      </c>
      <c r="BS25" s="2">
        <f t="shared" si="7"/>
        <v>0</v>
      </c>
      <c r="BT25" s="2">
        <f t="shared" si="7"/>
        <v>0</v>
      </c>
      <c r="BU25" s="2">
        <f t="shared" si="7"/>
        <v>0</v>
      </c>
      <c r="BV25" s="2">
        <f t="shared" si="7"/>
        <v>0</v>
      </c>
      <c r="BW25" s="2">
        <f t="shared" si="7"/>
        <v>0</v>
      </c>
      <c r="BX25" s="2">
        <f t="shared" si="7"/>
        <v>0</v>
      </c>
      <c r="BY25" s="2">
        <f t="shared" si="7"/>
        <v>0</v>
      </c>
      <c r="BZ25" s="2">
        <f t="shared" si="7"/>
        <v>0</v>
      </c>
      <c r="CA25" s="2">
        <f t="shared" si="7"/>
        <v>0</v>
      </c>
      <c r="CB25" s="2">
        <f t="shared" si="7"/>
        <v>0</v>
      </c>
      <c r="CC25" s="2">
        <f t="shared" si="7"/>
        <v>0</v>
      </c>
      <c r="CD25" s="2">
        <f t="shared" si="7"/>
        <v>0</v>
      </c>
      <c r="CE25" s="2">
        <f t="shared" si="7"/>
        <v>0</v>
      </c>
      <c r="CF25" s="2">
        <f t="shared" si="7"/>
        <v>0</v>
      </c>
      <c r="CG25" s="2">
        <f t="shared" si="7"/>
        <v>0</v>
      </c>
      <c r="CH25" s="2">
        <f t="shared" si="7"/>
        <v>0</v>
      </c>
      <c r="CI25" s="2">
        <f t="shared" si="7"/>
        <v>0</v>
      </c>
      <c r="CJ25" s="2">
        <f t="shared" si="7"/>
        <v>0</v>
      </c>
      <c r="CK25" s="2">
        <f t="shared" si="7"/>
        <v>0</v>
      </c>
      <c r="CL25" s="2">
        <f t="shared" si="7"/>
        <v>0</v>
      </c>
      <c r="CM25" s="2">
        <f t="shared" si="7"/>
        <v>0</v>
      </c>
      <c r="CN25" s="2">
        <f t="shared" si="7"/>
        <v>0</v>
      </c>
      <c r="CO25" s="2">
        <f t="shared" si="7"/>
        <v>0</v>
      </c>
      <c r="CP25" s="2">
        <f t="shared" si="7"/>
        <v>0</v>
      </c>
      <c r="CQ25" s="2">
        <f t="shared" si="7"/>
        <v>0</v>
      </c>
      <c r="CR25" s="2">
        <f t="shared" si="7"/>
        <v>0</v>
      </c>
      <c r="CS25" s="2">
        <f t="shared" si="7"/>
        <v>0</v>
      </c>
      <c r="CT25" s="2">
        <f t="shared" si="7"/>
        <v>0</v>
      </c>
      <c r="CU25" s="2">
        <f t="shared" si="7"/>
        <v>0</v>
      </c>
      <c r="CV25" s="2">
        <f t="shared" si="7"/>
        <v>0</v>
      </c>
      <c r="CW25" s="2">
        <f t="shared" si="7"/>
        <v>0</v>
      </c>
      <c r="CX25" s="2">
        <f t="shared" si="7"/>
        <v>0</v>
      </c>
      <c r="CY25" s="2">
        <f t="shared" si="7"/>
        <v>0</v>
      </c>
    </row>
    <row r="26" spans="1:103" x14ac:dyDescent="0.45">
      <c r="A26" s="2" t="s">
        <v>121</v>
      </c>
      <c r="B26" s="2">
        <v>0</v>
      </c>
      <c r="C26" s="2">
        <f t="shared" ref="C26:R31" si="8">C25</f>
        <v>5.8999999999999999E-3</v>
      </c>
      <c r="D26" s="2">
        <f t="shared" si="8"/>
        <v>5.8999999999999999E-3</v>
      </c>
      <c r="E26" s="2">
        <f t="shared" si="8"/>
        <v>5.8999999999999999E-3</v>
      </c>
      <c r="F26" s="2">
        <f t="shared" si="8"/>
        <v>5.8999999999999999E-3</v>
      </c>
      <c r="G26" s="2">
        <f t="shared" si="8"/>
        <v>5.8999999999999999E-3</v>
      </c>
      <c r="H26" s="2">
        <f t="shared" si="8"/>
        <v>5.8999999999999999E-3</v>
      </c>
      <c r="I26" s="2">
        <f t="shared" si="8"/>
        <v>5.8999999999999999E-3</v>
      </c>
      <c r="J26" s="2">
        <f t="shared" si="8"/>
        <v>5.8999999999999999E-3</v>
      </c>
      <c r="K26" s="2">
        <f t="shared" si="8"/>
        <v>5.8999999999999999E-3</v>
      </c>
      <c r="L26" s="2">
        <f t="shared" si="8"/>
        <v>5.8999999999999999E-3</v>
      </c>
      <c r="M26" s="2">
        <f t="shared" si="8"/>
        <v>5.8999999999999999E-3</v>
      </c>
      <c r="N26" s="2">
        <f t="shared" si="8"/>
        <v>5.8999999999999999E-3</v>
      </c>
      <c r="O26" s="2">
        <f t="shared" si="8"/>
        <v>5.8999999999999999E-3</v>
      </c>
      <c r="P26" s="2">
        <f t="shared" si="8"/>
        <v>5.8999999999999999E-3</v>
      </c>
      <c r="Q26" s="2">
        <f t="shared" si="8"/>
        <v>5.8999999999999999E-3</v>
      </c>
      <c r="R26" s="2">
        <f t="shared" si="8"/>
        <v>5.8999999999999999E-3</v>
      </c>
      <c r="S26" s="2">
        <f t="shared" ref="S26:T26" si="9">S25</f>
        <v>5.8999999999999999E-3</v>
      </c>
      <c r="T26" s="2">
        <f t="shared" si="9"/>
        <v>5.8999999999999999E-3</v>
      </c>
      <c r="U26" s="2">
        <f t="shared" ref="U26:U31" si="10">U25</f>
        <v>5.8999999999999999E-3</v>
      </c>
      <c r="V26" s="2">
        <f t="shared" ref="V26:AK31" si="11">U26</f>
        <v>5.8999999999999999E-3</v>
      </c>
      <c r="W26" s="2">
        <f t="shared" si="11"/>
        <v>5.8999999999999999E-3</v>
      </c>
      <c r="X26" s="2">
        <f t="shared" si="11"/>
        <v>5.8999999999999999E-3</v>
      </c>
      <c r="Y26" s="2">
        <f t="shared" si="11"/>
        <v>5.8999999999999999E-3</v>
      </c>
      <c r="Z26" s="2">
        <f t="shared" si="11"/>
        <v>5.8999999999999999E-3</v>
      </c>
      <c r="AA26" s="2">
        <f t="shared" si="11"/>
        <v>5.8999999999999999E-3</v>
      </c>
      <c r="AB26" s="2">
        <f t="shared" si="11"/>
        <v>5.8999999999999999E-3</v>
      </c>
      <c r="AC26" s="2">
        <f t="shared" si="11"/>
        <v>5.8999999999999999E-3</v>
      </c>
      <c r="AD26" s="2">
        <f t="shared" si="11"/>
        <v>5.8999999999999999E-3</v>
      </c>
      <c r="AE26" s="2">
        <f t="shared" si="11"/>
        <v>5.8999999999999999E-3</v>
      </c>
      <c r="AF26" s="2">
        <f t="shared" si="11"/>
        <v>5.8999999999999999E-3</v>
      </c>
      <c r="AG26" s="2">
        <f t="shared" si="11"/>
        <v>5.8999999999999999E-3</v>
      </c>
      <c r="AH26" s="2">
        <f t="shared" si="11"/>
        <v>5.8999999999999999E-3</v>
      </c>
      <c r="AI26" s="2">
        <f t="shared" si="11"/>
        <v>5.8999999999999999E-3</v>
      </c>
      <c r="AJ26" s="2">
        <f t="shared" si="11"/>
        <v>5.8999999999999999E-3</v>
      </c>
      <c r="AK26" s="2">
        <f t="shared" si="11"/>
        <v>5.8999999999999999E-3</v>
      </c>
      <c r="AL26" s="2">
        <f t="shared" si="4"/>
        <v>5.8999999999999999E-3</v>
      </c>
      <c r="AM26" s="2">
        <f t="shared" si="4"/>
        <v>5.8999999999999999E-3</v>
      </c>
      <c r="AN26" s="2">
        <f t="shared" si="4"/>
        <v>5.8999999999999999E-3</v>
      </c>
      <c r="AO26" s="2">
        <f t="shared" si="4"/>
        <v>5.8999999999999999E-3</v>
      </c>
      <c r="AP26" s="2">
        <f t="shared" si="4"/>
        <v>5.8999999999999999E-3</v>
      </c>
      <c r="AQ26" s="2">
        <f t="shared" si="4"/>
        <v>5.8999999999999999E-3</v>
      </c>
      <c r="AR26" s="2">
        <f t="shared" si="4"/>
        <v>5.8999999999999999E-3</v>
      </c>
      <c r="AS26" s="2">
        <f t="shared" si="4"/>
        <v>5.8999999999999999E-3</v>
      </c>
      <c r="AT26" s="2">
        <f t="shared" si="4"/>
        <v>5.8999999999999999E-3</v>
      </c>
      <c r="AU26" s="2">
        <f t="shared" si="4"/>
        <v>5.8999999999999999E-3</v>
      </c>
      <c r="AV26" s="2">
        <f t="shared" si="4"/>
        <v>5.8999999999999999E-3</v>
      </c>
      <c r="AW26" s="2">
        <f t="shared" si="4"/>
        <v>5.8999999999999999E-3</v>
      </c>
      <c r="AX26" s="2">
        <f t="shared" si="4"/>
        <v>5.8999999999999999E-3</v>
      </c>
      <c r="AY26" s="2">
        <f t="shared" si="5"/>
        <v>5.8999999999999999E-3</v>
      </c>
      <c r="AZ26" s="2">
        <f t="shared" si="6"/>
        <v>5.8999999999999999E-3</v>
      </c>
      <c r="BA26" s="2">
        <v>0</v>
      </c>
      <c r="BB26" s="2">
        <f t="shared" si="4"/>
        <v>0</v>
      </c>
      <c r="BC26" s="2">
        <f t="shared" si="4"/>
        <v>0</v>
      </c>
      <c r="BD26" s="2">
        <f t="shared" si="4"/>
        <v>0</v>
      </c>
      <c r="BE26" s="2">
        <f t="shared" si="4"/>
        <v>0</v>
      </c>
      <c r="BF26" s="2">
        <f t="shared" si="4"/>
        <v>0</v>
      </c>
      <c r="BG26" s="2">
        <f t="shared" si="4"/>
        <v>0</v>
      </c>
      <c r="BH26" s="2">
        <f t="shared" si="4"/>
        <v>0</v>
      </c>
      <c r="BI26" s="2">
        <f t="shared" si="4"/>
        <v>0</v>
      </c>
      <c r="BJ26" s="2">
        <f t="shared" si="4"/>
        <v>0</v>
      </c>
      <c r="BK26" s="2">
        <f t="shared" ref="BK26:BL31" si="12">BK25</f>
        <v>0</v>
      </c>
      <c r="BL26" s="2">
        <f t="shared" si="12"/>
        <v>0</v>
      </c>
      <c r="BM26" s="2">
        <f t="shared" si="7"/>
        <v>0</v>
      </c>
      <c r="BN26" s="2">
        <f t="shared" si="7"/>
        <v>0</v>
      </c>
      <c r="BO26" s="2">
        <f t="shared" si="7"/>
        <v>0</v>
      </c>
      <c r="BP26" s="2">
        <f t="shared" si="7"/>
        <v>0</v>
      </c>
      <c r="BQ26" s="2">
        <f t="shared" si="7"/>
        <v>0</v>
      </c>
      <c r="BR26" s="2">
        <f t="shared" si="7"/>
        <v>0</v>
      </c>
      <c r="BS26" s="2">
        <f t="shared" si="7"/>
        <v>0</v>
      </c>
      <c r="BT26" s="2">
        <f t="shared" si="7"/>
        <v>0</v>
      </c>
      <c r="BU26" s="2">
        <f t="shared" si="7"/>
        <v>0</v>
      </c>
      <c r="BV26" s="2">
        <f t="shared" si="7"/>
        <v>0</v>
      </c>
      <c r="BW26" s="2">
        <f t="shared" si="7"/>
        <v>0</v>
      </c>
      <c r="BX26" s="2">
        <f t="shared" si="7"/>
        <v>0</v>
      </c>
      <c r="BY26" s="2">
        <f t="shared" si="7"/>
        <v>0</v>
      </c>
      <c r="BZ26" s="2">
        <f t="shared" si="7"/>
        <v>0</v>
      </c>
      <c r="CA26" s="2">
        <f t="shared" si="7"/>
        <v>0</v>
      </c>
      <c r="CB26" s="2">
        <f t="shared" si="7"/>
        <v>0</v>
      </c>
      <c r="CC26" s="2">
        <f t="shared" si="7"/>
        <v>0</v>
      </c>
      <c r="CD26" s="2">
        <f t="shared" si="7"/>
        <v>0</v>
      </c>
      <c r="CE26" s="2">
        <f t="shared" si="7"/>
        <v>0</v>
      </c>
      <c r="CF26" s="2">
        <f t="shared" si="7"/>
        <v>0</v>
      </c>
      <c r="CG26" s="2">
        <f t="shared" si="7"/>
        <v>0</v>
      </c>
      <c r="CH26" s="2">
        <f t="shared" si="7"/>
        <v>0</v>
      </c>
      <c r="CI26" s="2">
        <f t="shared" si="7"/>
        <v>0</v>
      </c>
      <c r="CJ26" s="2">
        <f t="shared" si="7"/>
        <v>0</v>
      </c>
      <c r="CK26" s="2">
        <f t="shared" si="7"/>
        <v>0</v>
      </c>
      <c r="CL26" s="2">
        <f t="shared" si="7"/>
        <v>0</v>
      </c>
      <c r="CM26" s="2">
        <f t="shared" si="7"/>
        <v>0</v>
      </c>
      <c r="CN26" s="2">
        <f t="shared" si="7"/>
        <v>0</v>
      </c>
      <c r="CO26" s="2">
        <f t="shared" si="7"/>
        <v>0</v>
      </c>
      <c r="CP26" s="2">
        <f t="shared" si="7"/>
        <v>0</v>
      </c>
      <c r="CQ26" s="2">
        <f t="shared" si="7"/>
        <v>0</v>
      </c>
      <c r="CR26" s="2">
        <f t="shared" si="7"/>
        <v>0</v>
      </c>
      <c r="CS26" s="2">
        <f t="shared" si="7"/>
        <v>0</v>
      </c>
      <c r="CT26" s="2">
        <f t="shared" si="7"/>
        <v>0</v>
      </c>
      <c r="CU26" s="2">
        <f t="shared" si="7"/>
        <v>0</v>
      </c>
      <c r="CV26" s="2">
        <f t="shared" si="7"/>
        <v>0</v>
      </c>
      <c r="CW26" s="2">
        <f t="shared" si="7"/>
        <v>0</v>
      </c>
      <c r="CX26" s="2">
        <f t="shared" si="7"/>
        <v>0</v>
      </c>
      <c r="CY26" s="2">
        <f t="shared" si="7"/>
        <v>0</v>
      </c>
    </row>
    <row r="27" spans="1:103" x14ac:dyDescent="0.45">
      <c r="A27" s="2" t="s">
        <v>122</v>
      </c>
      <c r="B27" s="2">
        <v>0</v>
      </c>
      <c r="C27" s="2">
        <f t="shared" si="8"/>
        <v>5.8999999999999999E-3</v>
      </c>
      <c r="D27" s="2">
        <f t="shared" si="8"/>
        <v>5.8999999999999999E-3</v>
      </c>
      <c r="E27" s="2">
        <f t="shared" si="8"/>
        <v>5.8999999999999999E-3</v>
      </c>
      <c r="F27" s="2">
        <f t="shared" si="8"/>
        <v>5.8999999999999999E-3</v>
      </c>
      <c r="G27" s="2">
        <f t="shared" si="8"/>
        <v>5.8999999999999999E-3</v>
      </c>
      <c r="H27" s="2">
        <f t="shared" si="8"/>
        <v>5.8999999999999999E-3</v>
      </c>
      <c r="I27" s="2">
        <f t="shared" si="8"/>
        <v>5.8999999999999999E-3</v>
      </c>
      <c r="J27" s="2">
        <f t="shared" si="8"/>
        <v>5.8999999999999999E-3</v>
      </c>
      <c r="K27" s="2">
        <f t="shared" si="8"/>
        <v>5.8999999999999999E-3</v>
      </c>
      <c r="L27" s="2">
        <f t="shared" si="8"/>
        <v>5.8999999999999999E-3</v>
      </c>
      <c r="M27" s="2">
        <f t="shared" si="8"/>
        <v>5.8999999999999999E-3</v>
      </c>
      <c r="N27" s="2">
        <f t="shared" si="8"/>
        <v>5.8999999999999999E-3</v>
      </c>
      <c r="O27" s="2">
        <f t="shared" si="8"/>
        <v>5.8999999999999999E-3</v>
      </c>
      <c r="P27" s="2">
        <f t="shared" si="8"/>
        <v>5.8999999999999999E-3</v>
      </c>
      <c r="Q27" s="2">
        <f t="shared" si="8"/>
        <v>5.8999999999999999E-3</v>
      </c>
      <c r="R27" s="2">
        <f t="shared" si="8"/>
        <v>5.8999999999999999E-3</v>
      </c>
      <c r="S27" s="2">
        <f t="shared" ref="S27:T27" si="13">S26</f>
        <v>5.8999999999999999E-3</v>
      </c>
      <c r="T27" s="2">
        <f t="shared" si="13"/>
        <v>5.8999999999999999E-3</v>
      </c>
      <c r="U27" s="2">
        <f t="shared" si="10"/>
        <v>5.8999999999999999E-3</v>
      </c>
      <c r="V27" s="2">
        <f t="shared" si="11"/>
        <v>5.8999999999999999E-3</v>
      </c>
      <c r="W27" s="2">
        <f t="shared" si="4"/>
        <v>5.8999999999999999E-3</v>
      </c>
      <c r="X27" s="2">
        <f t="shared" si="4"/>
        <v>5.8999999999999999E-3</v>
      </c>
      <c r="Y27" s="2">
        <f t="shared" si="4"/>
        <v>5.8999999999999999E-3</v>
      </c>
      <c r="Z27" s="2">
        <f t="shared" si="4"/>
        <v>5.8999999999999999E-3</v>
      </c>
      <c r="AA27" s="2">
        <f t="shared" si="4"/>
        <v>5.8999999999999999E-3</v>
      </c>
      <c r="AB27" s="2">
        <f t="shared" si="4"/>
        <v>5.8999999999999999E-3</v>
      </c>
      <c r="AC27" s="2">
        <f t="shared" si="4"/>
        <v>5.8999999999999999E-3</v>
      </c>
      <c r="AD27" s="2">
        <f t="shared" si="4"/>
        <v>5.8999999999999999E-3</v>
      </c>
      <c r="AE27" s="2">
        <f t="shared" si="4"/>
        <v>5.8999999999999999E-3</v>
      </c>
      <c r="AF27" s="2">
        <f t="shared" si="4"/>
        <v>5.8999999999999999E-3</v>
      </c>
      <c r="AG27" s="2">
        <f t="shared" si="4"/>
        <v>5.8999999999999999E-3</v>
      </c>
      <c r="AH27" s="2">
        <f t="shared" si="4"/>
        <v>5.8999999999999999E-3</v>
      </c>
      <c r="AI27" s="2">
        <f t="shared" si="4"/>
        <v>5.8999999999999999E-3</v>
      </c>
      <c r="AJ27" s="2">
        <f t="shared" si="4"/>
        <v>5.8999999999999999E-3</v>
      </c>
      <c r="AK27" s="2">
        <f t="shared" si="4"/>
        <v>5.8999999999999999E-3</v>
      </c>
      <c r="AL27" s="2">
        <f t="shared" si="4"/>
        <v>5.8999999999999999E-3</v>
      </c>
      <c r="AM27" s="2">
        <f t="shared" si="4"/>
        <v>5.8999999999999999E-3</v>
      </c>
      <c r="AN27" s="2">
        <f t="shared" si="4"/>
        <v>5.8999999999999999E-3</v>
      </c>
      <c r="AO27" s="2">
        <f t="shared" si="4"/>
        <v>5.8999999999999999E-3</v>
      </c>
      <c r="AP27" s="2">
        <f t="shared" si="4"/>
        <v>5.8999999999999999E-3</v>
      </c>
      <c r="AQ27" s="2">
        <f t="shared" si="4"/>
        <v>5.8999999999999999E-3</v>
      </c>
      <c r="AR27" s="2">
        <f t="shared" si="4"/>
        <v>5.8999999999999999E-3</v>
      </c>
      <c r="AS27" s="2">
        <f t="shared" si="4"/>
        <v>5.8999999999999999E-3</v>
      </c>
      <c r="AT27" s="2">
        <f t="shared" si="4"/>
        <v>5.8999999999999999E-3</v>
      </c>
      <c r="AU27" s="2">
        <f t="shared" si="4"/>
        <v>5.8999999999999999E-3</v>
      </c>
      <c r="AV27" s="2">
        <f t="shared" si="4"/>
        <v>5.8999999999999999E-3</v>
      </c>
      <c r="AW27" s="2">
        <f t="shared" si="4"/>
        <v>5.8999999999999999E-3</v>
      </c>
      <c r="AX27" s="2">
        <f t="shared" si="4"/>
        <v>5.8999999999999999E-3</v>
      </c>
      <c r="AY27" s="2">
        <f t="shared" si="5"/>
        <v>5.8999999999999999E-3</v>
      </c>
      <c r="AZ27" s="2">
        <f t="shared" si="6"/>
        <v>5.8999999999999999E-3</v>
      </c>
      <c r="BA27" s="2">
        <v>0</v>
      </c>
      <c r="BB27" s="2">
        <f t="shared" si="4"/>
        <v>0</v>
      </c>
      <c r="BC27" s="2">
        <f t="shared" si="4"/>
        <v>0</v>
      </c>
      <c r="BD27" s="2">
        <f t="shared" si="4"/>
        <v>0</v>
      </c>
      <c r="BE27" s="2">
        <f t="shared" si="4"/>
        <v>0</v>
      </c>
      <c r="BF27" s="2">
        <f t="shared" si="4"/>
        <v>0</v>
      </c>
      <c r="BG27" s="2">
        <f t="shared" si="4"/>
        <v>0</v>
      </c>
      <c r="BH27" s="2">
        <f t="shared" si="4"/>
        <v>0</v>
      </c>
      <c r="BI27" s="2">
        <f t="shared" si="4"/>
        <v>0</v>
      </c>
      <c r="BJ27" s="2">
        <f t="shared" si="4"/>
        <v>0</v>
      </c>
      <c r="BK27" s="2">
        <f t="shared" si="12"/>
        <v>0</v>
      </c>
      <c r="BL27" s="2">
        <f t="shared" si="12"/>
        <v>0</v>
      </c>
      <c r="BM27" s="2">
        <f t="shared" si="7"/>
        <v>0</v>
      </c>
      <c r="BN27" s="2">
        <f t="shared" si="7"/>
        <v>0</v>
      </c>
      <c r="BO27" s="2">
        <f t="shared" si="7"/>
        <v>0</v>
      </c>
      <c r="BP27" s="2">
        <f t="shared" si="7"/>
        <v>0</v>
      </c>
      <c r="BQ27" s="2">
        <f t="shared" si="7"/>
        <v>0</v>
      </c>
      <c r="BR27" s="2">
        <f t="shared" si="7"/>
        <v>0</v>
      </c>
      <c r="BS27" s="2">
        <f t="shared" si="7"/>
        <v>0</v>
      </c>
      <c r="BT27" s="2">
        <f t="shared" si="7"/>
        <v>0</v>
      </c>
      <c r="BU27" s="2">
        <f t="shared" si="7"/>
        <v>0</v>
      </c>
      <c r="BV27" s="2">
        <f t="shared" si="7"/>
        <v>0</v>
      </c>
      <c r="BW27" s="2">
        <f t="shared" si="7"/>
        <v>0</v>
      </c>
      <c r="BX27" s="2">
        <f t="shared" si="7"/>
        <v>0</v>
      </c>
      <c r="BY27" s="2">
        <f t="shared" si="7"/>
        <v>0</v>
      </c>
      <c r="BZ27" s="2">
        <f t="shared" si="7"/>
        <v>0</v>
      </c>
      <c r="CA27" s="2">
        <f t="shared" si="7"/>
        <v>0</v>
      </c>
      <c r="CB27" s="2">
        <f t="shared" si="7"/>
        <v>0</v>
      </c>
      <c r="CC27" s="2">
        <f t="shared" si="7"/>
        <v>0</v>
      </c>
      <c r="CD27" s="2">
        <f t="shared" si="7"/>
        <v>0</v>
      </c>
      <c r="CE27" s="2">
        <f t="shared" si="7"/>
        <v>0</v>
      </c>
      <c r="CF27" s="2">
        <f t="shared" si="7"/>
        <v>0</v>
      </c>
      <c r="CG27" s="2">
        <f t="shared" si="7"/>
        <v>0</v>
      </c>
      <c r="CH27" s="2">
        <f t="shared" si="7"/>
        <v>0</v>
      </c>
      <c r="CI27" s="2">
        <f t="shared" si="7"/>
        <v>0</v>
      </c>
      <c r="CJ27" s="2">
        <f t="shared" si="7"/>
        <v>0</v>
      </c>
      <c r="CK27" s="2">
        <f t="shared" si="7"/>
        <v>0</v>
      </c>
      <c r="CL27" s="2">
        <f t="shared" si="7"/>
        <v>0</v>
      </c>
      <c r="CM27" s="2">
        <f t="shared" si="7"/>
        <v>0</v>
      </c>
      <c r="CN27" s="2">
        <f t="shared" si="7"/>
        <v>0</v>
      </c>
      <c r="CO27" s="2">
        <f t="shared" si="7"/>
        <v>0</v>
      </c>
      <c r="CP27" s="2">
        <f t="shared" si="7"/>
        <v>0</v>
      </c>
      <c r="CQ27" s="2">
        <f t="shared" si="7"/>
        <v>0</v>
      </c>
      <c r="CR27" s="2">
        <f t="shared" si="7"/>
        <v>0</v>
      </c>
      <c r="CS27" s="2">
        <f t="shared" si="7"/>
        <v>0</v>
      </c>
      <c r="CT27" s="2">
        <f t="shared" si="7"/>
        <v>0</v>
      </c>
      <c r="CU27" s="2">
        <f t="shared" si="7"/>
        <v>0</v>
      </c>
      <c r="CV27" s="2">
        <f t="shared" si="7"/>
        <v>0</v>
      </c>
      <c r="CW27" s="2">
        <f t="shared" si="7"/>
        <v>0</v>
      </c>
      <c r="CX27" s="2">
        <f t="shared" si="7"/>
        <v>0</v>
      </c>
      <c r="CY27" s="2">
        <f t="shared" si="7"/>
        <v>0</v>
      </c>
    </row>
    <row r="28" spans="1:103" x14ac:dyDescent="0.45">
      <c r="A28" s="2" t="s">
        <v>123</v>
      </c>
      <c r="B28" s="2">
        <v>0</v>
      </c>
      <c r="C28" s="2">
        <f t="shared" si="8"/>
        <v>5.8999999999999999E-3</v>
      </c>
      <c r="D28" s="2">
        <f t="shared" si="8"/>
        <v>5.8999999999999999E-3</v>
      </c>
      <c r="E28" s="2">
        <f t="shared" si="8"/>
        <v>5.8999999999999999E-3</v>
      </c>
      <c r="F28" s="2">
        <f t="shared" si="8"/>
        <v>5.8999999999999999E-3</v>
      </c>
      <c r="G28" s="2">
        <f t="shared" si="8"/>
        <v>5.8999999999999999E-3</v>
      </c>
      <c r="H28" s="2">
        <f t="shared" si="8"/>
        <v>5.8999999999999999E-3</v>
      </c>
      <c r="I28" s="2">
        <f t="shared" si="8"/>
        <v>5.8999999999999999E-3</v>
      </c>
      <c r="J28" s="2">
        <f t="shared" si="8"/>
        <v>5.8999999999999999E-3</v>
      </c>
      <c r="K28" s="2">
        <f t="shared" si="8"/>
        <v>5.8999999999999999E-3</v>
      </c>
      <c r="L28" s="2">
        <f t="shared" si="8"/>
        <v>5.8999999999999999E-3</v>
      </c>
      <c r="M28" s="2">
        <f t="shared" si="8"/>
        <v>5.8999999999999999E-3</v>
      </c>
      <c r="N28" s="2">
        <f t="shared" si="8"/>
        <v>5.8999999999999999E-3</v>
      </c>
      <c r="O28" s="2">
        <f t="shared" si="8"/>
        <v>5.8999999999999999E-3</v>
      </c>
      <c r="P28" s="2">
        <f t="shared" si="8"/>
        <v>5.8999999999999999E-3</v>
      </c>
      <c r="Q28" s="2">
        <f t="shared" si="8"/>
        <v>5.8999999999999999E-3</v>
      </c>
      <c r="R28" s="2">
        <f t="shared" si="8"/>
        <v>5.8999999999999999E-3</v>
      </c>
      <c r="S28" s="2">
        <f t="shared" ref="S28:T28" si="14">S27</f>
        <v>5.8999999999999999E-3</v>
      </c>
      <c r="T28" s="2">
        <f t="shared" si="14"/>
        <v>5.8999999999999999E-3</v>
      </c>
      <c r="U28" s="2">
        <f t="shared" si="10"/>
        <v>5.8999999999999999E-3</v>
      </c>
      <c r="V28" s="2">
        <f t="shared" si="11"/>
        <v>5.8999999999999999E-3</v>
      </c>
      <c r="W28" s="2">
        <f t="shared" si="4"/>
        <v>5.8999999999999999E-3</v>
      </c>
      <c r="X28" s="2">
        <f t="shared" si="4"/>
        <v>5.8999999999999999E-3</v>
      </c>
      <c r="Y28" s="2">
        <f t="shared" si="4"/>
        <v>5.8999999999999999E-3</v>
      </c>
      <c r="Z28" s="2">
        <f t="shared" si="4"/>
        <v>5.8999999999999999E-3</v>
      </c>
      <c r="AA28" s="2">
        <f t="shared" si="4"/>
        <v>5.8999999999999999E-3</v>
      </c>
      <c r="AB28" s="2">
        <f t="shared" si="4"/>
        <v>5.8999999999999999E-3</v>
      </c>
      <c r="AC28" s="2">
        <f t="shared" si="4"/>
        <v>5.8999999999999999E-3</v>
      </c>
      <c r="AD28" s="2">
        <f t="shared" si="4"/>
        <v>5.8999999999999999E-3</v>
      </c>
      <c r="AE28" s="2">
        <f t="shared" si="4"/>
        <v>5.8999999999999999E-3</v>
      </c>
      <c r="AF28" s="2">
        <f t="shared" si="4"/>
        <v>5.8999999999999999E-3</v>
      </c>
      <c r="AG28" s="2">
        <f t="shared" si="4"/>
        <v>5.8999999999999999E-3</v>
      </c>
      <c r="AH28" s="2">
        <f t="shared" si="4"/>
        <v>5.8999999999999999E-3</v>
      </c>
      <c r="AI28" s="2">
        <f t="shared" si="4"/>
        <v>5.8999999999999999E-3</v>
      </c>
      <c r="AJ28" s="2">
        <f t="shared" si="4"/>
        <v>5.8999999999999999E-3</v>
      </c>
      <c r="AK28" s="2">
        <f t="shared" si="4"/>
        <v>5.8999999999999999E-3</v>
      </c>
      <c r="AL28" s="2">
        <f t="shared" si="4"/>
        <v>5.8999999999999999E-3</v>
      </c>
      <c r="AM28" s="2">
        <f t="shared" si="4"/>
        <v>5.8999999999999999E-3</v>
      </c>
      <c r="AN28" s="2">
        <f t="shared" si="4"/>
        <v>5.8999999999999999E-3</v>
      </c>
      <c r="AO28" s="2">
        <f t="shared" si="4"/>
        <v>5.8999999999999999E-3</v>
      </c>
      <c r="AP28" s="2">
        <f t="shared" si="4"/>
        <v>5.8999999999999999E-3</v>
      </c>
      <c r="AQ28" s="2">
        <f t="shared" si="4"/>
        <v>5.8999999999999999E-3</v>
      </c>
      <c r="AR28" s="2">
        <f t="shared" si="4"/>
        <v>5.8999999999999999E-3</v>
      </c>
      <c r="AS28" s="2">
        <f t="shared" si="4"/>
        <v>5.8999999999999999E-3</v>
      </c>
      <c r="AT28" s="2">
        <f t="shared" si="4"/>
        <v>5.8999999999999999E-3</v>
      </c>
      <c r="AU28" s="2">
        <f t="shared" si="4"/>
        <v>5.8999999999999999E-3</v>
      </c>
      <c r="AV28" s="2">
        <f t="shared" si="4"/>
        <v>5.8999999999999999E-3</v>
      </c>
      <c r="AW28" s="2">
        <f t="shared" si="4"/>
        <v>5.8999999999999999E-3</v>
      </c>
      <c r="AX28" s="2">
        <f t="shared" si="4"/>
        <v>5.8999999999999999E-3</v>
      </c>
      <c r="AY28" s="2">
        <f t="shared" si="5"/>
        <v>5.8999999999999999E-3</v>
      </c>
      <c r="AZ28" s="2">
        <f t="shared" si="6"/>
        <v>5.8999999999999999E-3</v>
      </c>
      <c r="BA28" s="2">
        <v>0</v>
      </c>
      <c r="BB28" s="2">
        <f t="shared" si="4"/>
        <v>0</v>
      </c>
      <c r="BC28" s="2">
        <f t="shared" si="4"/>
        <v>0</v>
      </c>
      <c r="BD28" s="2">
        <f t="shared" si="4"/>
        <v>0</v>
      </c>
      <c r="BE28" s="2">
        <f t="shared" si="4"/>
        <v>0</v>
      </c>
      <c r="BF28" s="2">
        <f t="shared" si="4"/>
        <v>0</v>
      </c>
      <c r="BG28" s="2">
        <f t="shared" si="4"/>
        <v>0</v>
      </c>
      <c r="BH28" s="2">
        <f t="shared" si="4"/>
        <v>0</v>
      </c>
      <c r="BI28" s="2">
        <f t="shared" si="4"/>
        <v>0</v>
      </c>
      <c r="BJ28" s="2">
        <f t="shared" si="4"/>
        <v>0</v>
      </c>
      <c r="BK28" s="2">
        <f t="shared" si="12"/>
        <v>0</v>
      </c>
      <c r="BL28" s="2">
        <f t="shared" si="12"/>
        <v>0</v>
      </c>
      <c r="BM28" s="2">
        <f t="shared" si="7"/>
        <v>0</v>
      </c>
      <c r="BN28" s="2">
        <f t="shared" si="7"/>
        <v>0</v>
      </c>
      <c r="BO28" s="2">
        <f t="shared" si="7"/>
        <v>0</v>
      </c>
      <c r="BP28" s="2">
        <f t="shared" si="7"/>
        <v>0</v>
      </c>
      <c r="BQ28" s="2">
        <f t="shared" si="7"/>
        <v>0</v>
      </c>
      <c r="BR28" s="2">
        <f t="shared" si="7"/>
        <v>0</v>
      </c>
      <c r="BS28" s="2">
        <f t="shared" si="7"/>
        <v>0</v>
      </c>
      <c r="BT28" s="2">
        <f t="shared" si="7"/>
        <v>0</v>
      </c>
      <c r="BU28" s="2">
        <f t="shared" si="7"/>
        <v>0</v>
      </c>
      <c r="BV28" s="2">
        <f t="shared" si="7"/>
        <v>0</v>
      </c>
      <c r="BW28" s="2">
        <f t="shared" si="7"/>
        <v>0</v>
      </c>
      <c r="BX28" s="2">
        <f t="shared" si="7"/>
        <v>0</v>
      </c>
      <c r="BY28" s="2">
        <f t="shared" si="7"/>
        <v>0</v>
      </c>
      <c r="BZ28" s="2">
        <f t="shared" si="7"/>
        <v>0</v>
      </c>
      <c r="CA28" s="2">
        <f t="shared" si="7"/>
        <v>0</v>
      </c>
      <c r="CB28" s="2">
        <f t="shared" si="7"/>
        <v>0</v>
      </c>
      <c r="CC28" s="2">
        <f t="shared" si="7"/>
        <v>0</v>
      </c>
      <c r="CD28" s="2">
        <f t="shared" si="7"/>
        <v>0</v>
      </c>
      <c r="CE28" s="2">
        <f t="shared" si="7"/>
        <v>0</v>
      </c>
      <c r="CF28" s="2">
        <f t="shared" si="7"/>
        <v>0</v>
      </c>
      <c r="CG28" s="2">
        <f t="shared" si="7"/>
        <v>0</v>
      </c>
      <c r="CH28" s="2">
        <f t="shared" si="7"/>
        <v>0</v>
      </c>
      <c r="CI28" s="2">
        <f t="shared" si="7"/>
        <v>0</v>
      </c>
      <c r="CJ28" s="2">
        <f t="shared" si="7"/>
        <v>0</v>
      </c>
      <c r="CK28" s="2">
        <f t="shared" si="7"/>
        <v>0</v>
      </c>
      <c r="CL28" s="2">
        <f t="shared" si="7"/>
        <v>0</v>
      </c>
      <c r="CM28" s="2">
        <f t="shared" si="7"/>
        <v>0</v>
      </c>
      <c r="CN28" s="2">
        <f t="shared" si="7"/>
        <v>0</v>
      </c>
      <c r="CO28" s="2">
        <f t="shared" si="7"/>
        <v>0</v>
      </c>
      <c r="CP28" s="2">
        <f t="shared" si="7"/>
        <v>0</v>
      </c>
      <c r="CQ28" s="2">
        <f t="shared" si="7"/>
        <v>0</v>
      </c>
      <c r="CR28" s="2">
        <f t="shared" si="7"/>
        <v>0</v>
      </c>
      <c r="CS28" s="2">
        <f t="shared" si="7"/>
        <v>0</v>
      </c>
      <c r="CT28" s="2">
        <f t="shared" si="7"/>
        <v>0</v>
      </c>
      <c r="CU28" s="2">
        <f t="shared" si="7"/>
        <v>0</v>
      </c>
      <c r="CV28" s="2">
        <f t="shared" si="7"/>
        <v>0</v>
      </c>
      <c r="CW28" s="2">
        <f t="shared" si="7"/>
        <v>0</v>
      </c>
      <c r="CX28" s="2">
        <f t="shared" si="7"/>
        <v>0</v>
      </c>
      <c r="CY28" s="2">
        <f t="shared" si="7"/>
        <v>0</v>
      </c>
    </row>
    <row r="29" spans="1:103" x14ac:dyDescent="0.45">
      <c r="A29" s="2" t="s">
        <v>124</v>
      </c>
      <c r="B29" s="2">
        <v>0</v>
      </c>
      <c r="C29" s="2">
        <f t="shared" si="8"/>
        <v>5.8999999999999999E-3</v>
      </c>
      <c r="D29" s="2">
        <f t="shared" si="8"/>
        <v>5.8999999999999999E-3</v>
      </c>
      <c r="E29" s="2">
        <f t="shared" si="8"/>
        <v>5.8999999999999999E-3</v>
      </c>
      <c r="F29" s="2">
        <f t="shared" si="8"/>
        <v>5.8999999999999999E-3</v>
      </c>
      <c r="G29" s="2">
        <f t="shared" si="8"/>
        <v>5.8999999999999999E-3</v>
      </c>
      <c r="H29" s="2">
        <f t="shared" si="8"/>
        <v>5.8999999999999999E-3</v>
      </c>
      <c r="I29" s="2">
        <f t="shared" si="8"/>
        <v>5.8999999999999999E-3</v>
      </c>
      <c r="J29" s="2">
        <f t="shared" si="8"/>
        <v>5.8999999999999999E-3</v>
      </c>
      <c r="K29" s="2">
        <f t="shared" si="8"/>
        <v>5.8999999999999999E-3</v>
      </c>
      <c r="L29" s="2">
        <f t="shared" si="8"/>
        <v>5.8999999999999999E-3</v>
      </c>
      <c r="M29" s="2">
        <f t="shared" si="8"/>
        <v>5.8999999999999999E-3</v>
      </c>
      <c r="N29" s="2">
        <f t="shared" si="8"/>
        <v>5.8999999999999999E-3</v>
      </c>
      <c r="O29" s="2">
        <f t="shared" si="8"/>
        <v>5.8999999999999999E-3</v>
      </c>
      <c r="P29" s="2">
        <f t="shared" si="8"/>
        <v>5.8999999999999999E-3</v>
      </c>
      <c r="Q29" s="2">
        <f t="shared" si="8"/>
        <v>5.8999999999999999E-3</v>
      </c>
      <c r="R29" s="2">
        <f t="shared" si="8"/>
        <v>5.8999999999999999E-3</v>
      </c>
      <c r="S29" s="2">
        <f t="shared" ref="S29:T29" si="15">S28</f>
        <v>5.8999999999999999E-3</v>
      </c>
      <c r="T29" s="2">
        <f t="shared" si="15"/>
        <v>5.8999999999999999E-3</v>
      </c>
      <c r="U29" s="2">
        <f t="shared" si="10"/>
        <v>5.8999999999999999E-3</v>
      </c>
      <c r="V29" s="2">
        <f t="shared" si="11"/>
        <v>5.8999999999999999E-3</v>
      </c>
      <c r="W29" s="2">
        <f t="shared" si="4"/>
        <v>5.8999999999999999E-3</v>
      </c>
      <c r="X29" s="2">
        <f t="shared" si="4"/>
        <v>5.8999999999999999E-3</v>
      </c>
      <c r="Y29" s="2">
        <f t="shared" si="4"/>
        <v>5.8999999999999999E-3</v>
      </c>
      <c r="Z29" s="2">
        <f t="shared" si="4"/>
        <v>5.8999999999999999E-3</v>
      </c>
      <c r="AA29" s="2">
        <f t="shared" si="4"/>
        <v>5.8999999999999999E-3</v>
      </c>
      <c r="AB29" s="2">
        <f t="shared" si="4"/>
        <v>5.8999999999999999E-3</v>
      </c>
      <c r="AC29" s="2">
        <f t="shared" si="4"/>
        <v>5.8999999999999999E-3</v>
      </c>
      <c r="AD29" s="2">
        <f t="shared" si="4"/>
        <v>5.8999999999999999E-3</v>
      </c>
      <c r="AE29" s="2">
        <f t="shared" si="4"/>
        <v>5.8999999999999999E-3</v>
      </c>
      <c r="AF29" s="2">
        <f t="shared" si="4"/>
        <v>5.8999999999999999E-3</v>
      </c>
      <c r="AG29" s="2">
        <f t="shared" si="4"/>
        <v>5.8999999999999999E-3</v>
      </c>
      <c r="AH29" s="2">
        <f t="shared" si="4"/>
        <v>5.8999999999999999E-3</v>
      </c>
      <c r="AI29" s="2">
        <f t="shared" si="4"/>
        <v>5.8999999999999999E-3</v>
      </c>
      <c r="AJ29" s="2">
        <f t="shared" si="4"/>
        <v>5.8999999999999999E-3</v>
      </c>
      <c r="AK29" s="2">
        <f t="shared" si="4"/>
        <v>5.8999999999999999E-3</v>
      </c>
      <c r="AL29" s="2">
        <f t="shared" si="4"/>
        <v>5.8999999999999999E-3</v>
      </c>
      <c r="AM29" s="2">
        <f t="shared" si="4"/>
        <v>5.8999999999999999E-3</v>
      </c>
      <c r="AN29" s="2">
        <f t="shared" si="4"/>
        <v>5.8999999999999999E-3</v>
      </c>
      <c r="AO29" s="2">
        <f t="shared" si="4"/>
        <v>5.8999999999999999E-3</v>
      </c>
      <c r="AP29" s="2">
        <f t="shared" si="4"/>
        <v>5.8999999999999999E-3</v>
      </c>
      <c r="AQ29" s="2">
        <f t="shared" si="4"/>
        <v>5.8999999999999999E-3</v>
      </c>
      <c r="AR29" s="2">
        <f t="shared" si="4"/>
        <v>5.8999999999999999E-3</v>
      </c>
      <c r="AS29" s="2">
        <f t="shared" si="4"/>
        <v>5.8999999999999999E-3</v>
      </c>
      <c r="AT29" s="2">
        <f t="shared" si="4"/>
        <v>5.8999999999999999E-3</v>
      </c>
      <c r="AU29" s="2">
        <f t="shared" si="4"/>
        <v>5.8999999999999999E-3</v>
      </c>
      <c r="AV29" s="2">
        <f t="shared" si="4"/>
        <v>5.8999999999999999E-3</v>
      </c>
      <c r="AW29" s="2">
        <f t="shared" si="4"/>
        <v>5.8999999999999999E-3</v>
      </c>
      <c r="AX29" s="2">
        <f t="shared" si="4"/>
        <v>5.8999999999999999E-3</v>
      </c>
      <c r="AY29" s="2">
        <f t="shared" si="5"/>
        <v>5.8999999999999999E-3</v>
      </c>
      <c r="AZ29" s="2">
        <f t="shared" si="6"/>
        <v>5.8999999999999999E-3</v>
      </c>
      <c r="BA29" s="2">
        <v>0</v>
      </c>
      <c r="BB29" s="2">
        <f t="shared" si="4"/>
        <v>0</v>
      </c>
      <c r="BC29" s="2">
        <f t="shared" si="4"/>
        <v>0</v>
      </c>
      <c r="BD29" s="2">
        <f t="shared" si="4"/>
        <v>0</v>
      </c>
      <c r="BE29" s="2">
        <f t="shared" si="4"/>
        <v>0</v>
      </c>
      <c r="BF29" s="2">
        <f t="shared" si="4"/>
        <v>0</v>
      </c>
      <c r="BG29" s="2">
        <f t="shared" si="4"/>
        <v>0</v>
      </c>
      <c r="BH29" s="2">
        <f t="shared" si="4"/>
        <v>0</v>
      </c>
      <c r="BI29" s="2">
        <f t="shared" si="4"/>
        <v>0</v>
      </c>
      <c r="BJ29" s="2">
        <f t="shared" si="4"/>
        <v>0</v>
      </c>
      <c r="BK29" s="2">
        <f t="shared" si="12"/>
        <v>0</v>
      </c>
      <c r="BL29" s="2">
        <f t="shared" si="12"/>
        <v>0</v>
      </c>
      <c r="BM29" s="2">
        <f t="shared" si="7"/>
        <v>0</v>
      </c>
      <c r="BN29" s="2">
        <f t="shared" si="7"/>
        <v>0</v>
      </c>
      <c r="BO29" s="2">
        <f t="shared" si="7"/>
        <v>0</v>
      </c>
      <c r="BP29" s="2">
        <f t="shared" si="7"/>
        <v>0</v>
      </c>
      <c r="BQ29" s="2">
        <f t="shared" si="7"/>
        <v>0</v>
      </c>
      <c r="BR29" s="2">
        <f t="shared" si="7"/>
        <v>0</v>
      </c>
      <c r="BS29" s="2">
        <f t="shared" si="7"/>
        <v>0</v>
      </c>
      <c r="BT29" s="2">
        <f t="shared" si="7"/>
        <v>0</v>
      </c>
      <c r="BU29" s="2">
        <f t="shared" si="7"/>
        <v>0</v>
      </c>
      <c r="BV29" s="2">
        <f t="shared" si="7"/>
        <v>0</v>
      </c>
      <c r="BW29" s="2">
        <f t="shared" si="7"/>
        <v>0</v>
      </c>
      <c r="BX29" s="2">
        <f t="shared" si="7"/>
        <v>0</v>
      </c>
      <c r="BY29" s="2">
        <f t="shared" si="7"/>
        <v>0</v>
      </c>
      <c r="BZ29" s="2">
        <f t="shared" si="7"/>
        <v>0</v>
      </c>
      <c r="CA29" s="2">
        <f t="shared" si="7"/>
        <v>0</v>
      </c>
      <c r="CB29" s="2">
        <f t="shared" si="7"/>
        <v>0</v>
      </c>
      <c r="CC29" s="2">
        <f t="shared" si="7"/>
        <v>0</v>
      </c>
      <c r="CD29" s="2">
        <f t="shared" si="7"/>
        <v>0</v>
      </c>
      <c r="CE29" s="2">
        <f t="shared" si="7"/>
        <v>0</v>
      </c>
      <c r="CF29" s="2">
        <f t="shared" si="7"/>
        <v>0</v>
      </c>
      <c r="CG29" s="2">
        <f t="shared" si="7"/>
        <v>0</v>
      </c>
      <c r="CH29" s="2">
        <f t="shared" si="7"/>
        <v>0</v>
      </c>
      <c r="CI29" s="2">
        <f t="shared" si="7"/>
        <v>0</v>
      </c>
      <c r="CJ29" s="2">
        <f t="shared" si="7"/>
        <v>0</v>
      </c>
      <c r="CK29" s="2">
        <f t="shared" si="7"/>
        <v>0</v>
      </c>
      <c r="CL29" s="2">
        <f t="shared" si="7"/>
        <v>0</v>
      </c>
      <c r="CM29" s="2">
        <f t="shared" si="7"/>
        <v>0</v>
      </c>
      <c r="CN29" s="2">
        <f t="shared" si="7"/>
        <v>0</v>
      </c>
      <c r="CO29" s="2">
        <f t="shared" si="7"/>
        <v>0</v>
      </c>
      <c r="CP29" s="2">
        <f t="shared" si="7"/>
        <v>0</v>
      </c>
      <c r="CQ29" s="2">
        <f t="shared" si="7"/>
        <v>0</v>
      </c>
      <c r="CR29" s="2">
        <f t="shared" si="7"/>
        <v>0</v>
      </c>
      <c r="CS29" s="2">
        <f t="shared" si="7"/>
        <v>0</v>
      </c>
      <c r="CT29" s="2">
        <f t="shared" si="7"/>
        <v>0</v>
      </c>
      <c r="CU29" s="2">
        <f t="shared" si="7"/>
        <v>0</v>
      </c>
      <c r="CV29" s="2">
        <f t="shared" si="7"/>
        <v>0</v>
      </c>
      <c r="CW29" s="2">
        <f t="shared" si="7"/>
        <v>0</v>
      </c>
      <c r="CX29" s="2">
        <f t="shared" si="7"/>
        <v>0</v>
      </c>
      <c r="CY29" s="2">
        <f t="shared" si="7"/>
        <v>0</v>
      </c>
    </row>
    <row r="30" spans="1:103" x14ac:dyDescent="0.45">
      <c r="A30" s="2" t="s">
        <v>125</v>
      </c>
      <c r="B30" s="2">
        <v>0</v>
      </c>
      <c r="C30" s="2">
        <f t="shared" si="8"/>
        <v>5.8999999999999999E-3</v>
      </c>
      <c r="D30" s="2">
        <f t="shared" si="8"/>
        <v>5.8999999999999999E-3</v>
      </c>
      <c r="E30" s="2">
        <f t="shared" si="8"/>
        <v>5.8999999999999999E-3</v>
      </c>
      <c r="F30" s="2">
        <f t="shared" si="8"/>
        <v>5.8999999999999999E-3</v>
      </c>
      <c r="G30" s="2">
        <f t="shared" si="8"/>
        <v>5.8999999999999999E-3</v>
      </c>
      <c r="H30" s="2">
        <f t="shared" si="8"/>
        <v>5.8999999999999999E-3</v>
      </c>
      <c r="I30" s="2">
        <f t="shared" si="8"/>
        <v>5.8999999999999999E-3</v>
      </c>
      <c r="J30" s="2">
        <f t="shared" si="8"/>
        <v>5.8999999999999999E-3</v>
      </c>
      <c r="K30" s="2">
        <f t="shared" si="8"/>
        <v>5.8999999999999999E-3</v>
      </c>
      <c r="L30" s="2">
        <f t="shared" si="8"/>
        <v>5.8999999999999999E-3</v>
      </c>
      <c r="M30" s="2">
        <f t="shared" si="8"/>
        <v>5.8999999999999999E-3</v>
      </c>
      <c r="N30" s="2">
        <f t="shared" si="8"/>
        <v>5.8999999999999999E-3</v>
      </c>
      <c r="O30" s="2">
        <f t="shared" si="8"/>
        <v>5.8999999999999999E-3</v>
      </c>
      <c r="P30" s="2">
        <f t="shared" si="8"/>
        <v>5.8999999999999999E-3</v>
      </c>
      <c r="Q30" s="2">
        <f t="shared" si="8"/>
        <v>5.8999999999999999E-3</v>
      </c>
      <c r="R30" s="2">
        <f t="shared" si="8"/>
        <v>5.8999999999999999E-3</v>
      </c>
      <c r="S30" s="2">
        <f t="shared" ref="S30:T30" si="16">S29</f>
        <v>5.8999999999999999E-3</v>
      </c>
      <c r="T30" s="2">
        <f t="shared" si="16"/>
        <v>5.8999999999999999E-3</v>
      </c>
      <c r="U30" s="2">
        <f t="shared" si="10"/>
        <v>5.8999999999999999E-3</v>
      </c>
      <c r="V30" s="2">
        <f t="shared" si="11"/>
        <v>5.8999999999999999E-3</v>
      </c>
      <c r="W30" s="2">
        <f t="shared" si="4"/>
        <v>5.8999999999999999E-3</v>
      </c>
      <c r="X30" s="2">
        <f t="shared" si="4"/>
        <v>5.8999999999999999E-3</v>
      </c>
      <c r="Y30" s="2">
        <f t="shared" si="4"/>
        <v>5.8999999999999999E-3</v>
      </c>
      <c r="Z30" s="2">
        <f t="shared" si="4"/>
        <v>5.8999999999999999E-3</v>
      </c>
      <c r="AA30" s="2">
        <f t="shared" si="4"/>
        <v>5.8999999999999999E-3</v>
      </c>
      <c r="AB30" s="2">
        <f t="shared" si="4"/>
        <v>5.8999999999999999E-3</v>
      </c>
      <c r="AC30" s="2">
        <f t="shared" si="4"/>
        <v>5.8999999999999999E-3</v>
      </c>
      <c r="AD30" s="2">
        <f t="shared" si="4"/>
        <v>5.8999999999999999E-3</v>
      </c>
      <c r="AE30" s="2">
        <f t="shared" si="4"/>
        <v>5.8999999999999999E-3</v>
      </c>
      <c r="AF30" s="2">
        <f t="shared" si="4"/>
        <v>5.8999999999999999E-3</v>
      </c>
      <c r="AG30" s="2">
        <f t="shared" si="4"/>
        <v>5.8999999999999999E-3</v>
      </c>
      <c r="AH30" s="2">
        <f t="shared" si="4"/>
        <v>5.8999999999999999E-3</v>
      </c>
      <c r="AI30" s="2">
        <f t="shared" si="4"/>
        <v>5.8999999999999999E-3</v>
      </c>
      <c r="AJ30" s="2">
        <f t="shared" si="4"/>
        <v>5.8999999999999999E-3</v>
      </c>
      <c r="AK30" s="2">
        <f t="shared" si="4"/>
        <v>5.8999999999999999E-3</v>
      </c>
      <c r="AL30" s="2">
        <f t="shared" si="4"/>
        <v>5.8999999999999999E-3</v>
      </c>
      <c r="AM30" s="2">
        <f t="shared" si="4"/>
        <v>5.8999999999999999E-3</v>
      </c>
      <c r="AN30" s="2">
        <f t="shared" si="4"/>
        <v>5.8999999999999999E-3</v>
      </c>
      <c r="AO30" s="2">
        <f t="shared" si="4"/>
        <v>5.8999999999999999E-3</v>
      </c>
      <c r="AP30" s="2">
        <f t="shared" si="4"/>
        <v>5.8999999999999999E-3</v>
      </c>
      <c r="AQ30" s="2">
        <f t="shared" si="4"/>
        <v>5.8999999999999999E-3</v>
      </c>
      <c r="AR30" s="2">
        <f t="shared" si="4"/>
        <v>5.8999999999999999E-3</v>
      </c>
      <c r="AS30" s="2">
        <f t="shared" si="4"/>
        <v>5.8999999999999999E-3</v>
      </c>
      <c r="AT30" s="2">
        <f t="shared" si="4"/>
        <v>5.8999999999999999E-3</v>
      </c>
      <c r="AU30" s="2">
        <f t="shared" si="4"/>
        <v>5.8999999999999999E-3</v>
      </c>
      <c r="AV30" s="2">
        <f t="shared" si="4"/>
        <v>5.8999999999999999E-3</v>
      </c>
      <c r="AW30" s="2">
        <f t="shared" si="4"/>
        <v>5.8999999999999999E-3</v>
      </c>
      <c r="AX30" s="2">
        <f t="shared" si="4"/>
        <v>5.8999999999999999E-3</v>
      </c>
      <c r="AY30" s="2">
        <f t="shared" si="5"/>
        <v>5.8999999999999999E-3</v>
      </c>
      <c r="AZ30" s="2">
        <f t="shared" si="6"/>
        <v>5.8999999999999999E-3</v>
      </c>
      <c r="BA30" s="2">
        <v>0</v>
      </c>
      <c r="BB30" s="2">
        <f t="shared" si="4"/>
        <v>0</v>
      </c>
      <c r="BC30" s="2">
        <f t="shared" si="4"/>
        <v>0</v>
      </c>
      <c r="BD30" s="2">
        <f t="shared" si="4"/>
        <v>0</v>
      </c>
      <c r="BE30" s="2">
        <f t="shared" si="4"/>
        <v>0</v>
      </c>
      <c r="BF30" s="2">
        <f t="shared" si="4"/>
        <v>0</v>
      </c>
      <c r="BG30" s="2">
        <f t="shared" si="4"/>
        <v>0</v>
      </c>
      <c r="BH30" s="2">
        <f t="shared" si="4"/>
        <v>0</v>
      </c>
      <c r="BI30" s="2">
        <f t="shared" si="4"/>
        <v>0</v>
      </c>
      <c r="BJ30" s="2">
        <f t="shared" si="4"/>
        <v>0</v>
      </c>
      <c r="BK30" s="2">
        <f t="shared" si="12"/>
        <v>0</v>
      </c>
      <c r="BL30" s="2">
        <f t="shared" si="12"/>
        <v>0</v>
      </c>
      <c r="BM30" s="2">
        <f t="shared" si="7"/>
        <v>0</v>
      </c>
      <c r="BN30" s="2">
        <f t="shared" si="7"/>
        <v>0</v>
      </c>
      <c r="BO30" s="2">
        <f t="shared" si="7"/>
        <v>0</v>
      </c>
      <c r="BP30" s="2">
        <f t="shared" si="7"/>
        <v>0</v>
      </c>
      <c r="BQ30" s="2">
        <f t="shared" si="7"/>
        <v>0</v>
      </c>
      <c r="BR30" s="2">
        <f t="shared" si="7"/>
        <v>0</v>
      </c>
      <c r="BS30" s="2">
        <f t="shared" si="7"/>
        <v>0</v>
      </c>
      <c r="BT30" s="2">
        <f t="shared" si="7"/>
        <v>0</v>
      </c>
      <c r="BU30" s="2">
        <f t="shared" si="7"/>
        <v>0</v>
      </c>
      <c r="BV30" s="2">
        <f t="shared" si="7"/>
        <v>0</v>
      </c>
      <c r="BW30" s="2">
        <f t="shared" si="7"/>
        <v>0</v>
      </c>
      <c r="BX30" s="2">
        <f t="shared" si="7"/>
        <v>0</v>
      </c>
      <c r="BY30" s="2">
        <f t="shared" si="7"/>
        <v>0</v>
      </c>
      <c r="BZ30" s="2">
        <f t="shared" si="7"/>
        <v>0</v>
      </c>
      <c r="CA30" s="2">
        <f t="shared" si="7"/>
        <v>0</v>
      </c>
      <c r="CB30" s="2">
        <f t="shared" si="7"/>
        <v>0</v>
      </c>
      <c r="CC30" s="2">
        <f t="shared" si="7"/>
        <v>0</v>
      </c>
      <c r="CD30" s="2">
        <f t="shared" si="7"/>
        <v>0</v>
      </c>
      <c r="CE30" s="2">
        <f t="shared" si="7"/>
        <v>0</v>
      </c>
      <c r="CF30" s="2">
        <f t="shared" si="7"/>
        <v>0</v>
      </c>
      <c r="CG30" s="2">
        <f t="shared" si="7"/>
        <v>0</v>
      </c>
      <c r="CH30" s="2">
        <f t="shared" si="7"/>
        <v>0</v>
      </c>
      <c r="CI30" s="2">
        <f t="shared" si="7"/>
        <v>0</v>
      </c>
      <c r="CJ30" s="2">
        <f t="shared" si="7"/>
        <v>0</v>
      </c>
      <c r="CK30" s="2">
        <f t="shared" si="7"/>
        <v>0</v>
      </c>
      <c r="CL30" s="2">
        <f t="shared" si="7"/>
        <v>0</v>
      </c>
      <c r="CM30" s="2">
        <f t="shared" si="7"/>
        <v>0</v>
      </c>
      <c r="CN30" s="2">
        <f t="shared" si="7"/>
        <v>0</v>
      </c>
      <c r="CO30" s="2">
        <f t="shared" si="7"/>
        <v>0</v>
      </c>
      <c r="CP30" s="2">
        <f t="shared" si="7"/>
        <v>0</v>
      </c>
      <c r="CQ30" s="2">
        <f t="shared" si="7"/>
        <v>0</v>
      </c>
      <c r="CR30" s="2">
        <f t="shared" si="7"/>
        <v>0</v>
      </c>
      <c r="CS30" s="2">
        <f t="shared" si="7"/>
        <v>0</v>
      </c>
      <c r="CT30" s="2">
        <f t="shared" si="7"/>
        <v>0</v>
      </c>
      <c r="CU30" s="2">
        <f t="shared" si="7"/>
        <v>0</v>
      </c>
      <c r="CV30" s="2">
        <f t="shared" si="7"/>
        <v>0</v>
      </c>
      <c r="CW30" s="2">
        <f t="shared" si="7"/>
        <v>0</v>
      </c>
      <c r="CX30" s="2">
        <f t="shared" si="7"/>
        <v>0</v>
      </c>
      <c r="CY30" s="2">
        <f t="shared" si="7"/>
        <v>0</v>
      </c>
    </row>
    <row r="31" spans="1:103" x14ac:dyDescent="0.45">
      <c r="A31" s="2" t="s">
        <v>126</v>
      </c>
      <c r="B31" s="2">
        <v>0</v>
      </c>
      <c r="C31" s="2">
        <f t="shared" si="8"/>
        <v>5.8999999999999999E-3</v>
      </c>
      <c r="D31" s="2">
        <f t="shared" si="8"/>
        <v>5.8999999999999999E-3</v>
      </c>
      <c r="E31" s="2">
        <f t="shared" si="8"/>
        <v>5.8999999999999999E-3</v>
      </c>
      <c r="F31" s="2">
        <f t="shared" si="8"/>
        <v>5.8999999999999999E-3</v>
      </c>
      <c r="G31" s="2">
        <f t="shared" si="8"/>
        <v>5.8999999999999999E-3</v>
      </c>
      <c r="H31" s="2">
        <f t="shared" si="8"/>
        <v>5.8999999999999999E-3</v>
      </c>
      <c r="I31" s="2">
        <f t="shared" si="8"/>
        <v>5.8999999999999999E-3</v>
      </c>
      <c r="J31" s="2">
        <f t="shared" si="8"/>
        <v>5.8999999999999999E-3</v>
      </c>
      <c r="K31" s="2">
        <f t="shared" si="8"/>
        <v>5.8999999999999999E-3</v>
      </c>
      <c r="L31" s="2">
        <f t="shared" si="8"/>
        <v>5.8999999999999999E-3</v>
      </c>
      <c r="M31" s="2">
        <f t="shared" si="8"/>
        <v>5.8999999999999999E-3</v>
      </c>
      <c r="N31" s="2">
        <f t="shared" si="8"/>
        <v>5.8999999999999999E-3</v>
      </c>
      <c r="O31" s="2">
        <f t="shared" si="8"/>
        <v>5.8999999999999999E-3</v>
      </c>
      <c r="P31" s="2">
        <f t="shared" si="8"/>
        <v>5.8999999999999999E-3</v>
      </c>
      <c r="Q31" s="2">
        <f t="shared" si="8"/>
        <v>5.8999999999999999E-3</v>
      </c>
      <c r="R31" s="2">
        <f t="shared" si="8"/>
        <v>5.8999999999999999E-3</v>
      </c>
      <c r="S31" s="2">
        <f t="shared" ref="S31:T31" si="17">S30</f>
        <v>5.8999999999999999E-3</v>
      </c>
      <c r="T31" s="2">
        <f t="shared" si="17"/>
        <v>5.8999999999999999E-3</v>
      </c>
      <c r="U31" s="2">
        <f t="shared" si="10"/>
        <v>5.8999999999999999E-3</v>
      </c>
      <c r="V31" s="2">
        <f t="shared" si="11"/>
        <v>5.8999999999999999E-3</v>
      </c>
      <c r="W31" s="2">
        <f t="shared" si="4"/>
        <v>5.8999999999999999E-3</v>
      </c>
      <c r="X31" s="2">
        <f t="shared" si="4"/>
        <v>5.8999999999999999E-3</v>
      </c>
      <c r="Y31" s="2">
        <f t="shared" si="4"/>
        <v>5.8999999999999999E-3</v>
      </c>
      <c r="Z31" s="2">
        <f t="shared" si="4"/>
        <v>5.8999999999999999E-3</v>
      </c>
      <c r="AA31" s="2">
        <f t="shared" si="4"/>
        <v>5.8999999999999999E-3</v>
      </c>
      <c r="AB31" s="2">
        <f t="shared" si="4"/>
        <v>5.8999999999999999E-3</v>
      </c>
      <c r="AC31" s="2">
        <f t="shared" si="4"/>
        <v>5.8999999999999999E-3</v>
      </c>
      <c r="AD31" s="2">
        <f t="shared" si="4"/>
        <v>5.8999999999999999E-3</v>
      </c>
      <c r="AE31" s="2">
        <f t="shared" si="4"/>
        <v>5.8999999999999999E-3</v>
      </c>
      <c r="AF31" s="2">
        <f t="shared" si="4"/>
        <v>5.8999999999999999E-3</v>
      </c>
      <c r="AG31" s="2">
        <f t="shared" si="4"/>
        <v>5.8999999999999999E-3</v>
      </c>
      <c r="AH31" s="2">
        <f t="shared" si="4"/>
        <v>5.8999999999999999E-3</v>
      </c>
      <c r="AI31" s="2">
        <f t="shared" si="4"/>
        <v>5.8999999999999999E-3</v>
      </c>
      <c r="AJ31" s="2">
        <f t="shared" si="4"/>
        <v>5.8999999999999999E-3</v>
      </c>
      <c r="AK31" s="2">
        <f t="shared" si="4"/>
        <v>5.8999999999999999E-3</v>
      </c>
      <c r="AL31" s="2">
        <f t="shared" si="4"/>
        <v>5.8999999999999999E-3</v>
      </c>
      <c r="AM31" s="2">
        <f t="shared" si="4"/>
        <v>5.8999999999999999E-3</v>
      </c>
      <c r="AN31" s="2">
        <f t="shared" si="4"/>
        <v>5.8999999999999999E-3</v>
      </c>
      <c r="AO31" s="2">
        <f t="shared" si="4"/>
        <v>5.8999999999999999E-3</v>
      </c>
      <c r="AP31" s="2">
        <f t="shared" si="4"/>
        <v>5.8999999999999999E-3</v>
      </c>
      <c r="AQ31" s="2">
        <f t="shared" si="4"/>
        <v>5.8999999999999999E-3</v>
      </c>
      <c r="AR31" s="2">
        <f t="shared" si="4"/>
        <v>5.8999999999999999E-3</v>
      </c>
      <c r="AS31" s="2">
        <f t="shared" si="4"/>
        <v>5.8999999999999999E-3</v>
      </c>
      <c r="AT31" s="2">
        <f t="shared" si="4"/>
        <v>5.8999999999999999E-3</v>
      </c>
      <c r="AU31" s="2">
        <f t="shared" si="4"/>
        <v>5.8999999999999999E-3</v>
      </c>
      <c r="AV31" s="2">
        <f t="shared" si="4"/>
        <v>5.8999999999999999E-3</v>
      </c>
      <c r="AW31" s="2">
        <f t="shared" si="4"/>
        <v>5.8999999999999999E-3</v>
      </c>
      <c r="AX31" s="2">
        <f t="shared" si="4"/>
        <v>5.8999999999999999E-3</v>
      </c>
      <c r="AY31" s="2">
        <f t="shared" si="5"/>
        <v>5.8999999999999999E-3</v>
      </c>
      <c r="AZ31" s="2">
        <f t="shared" si="6"/>
        <v>5.8999999999999999E-3</v>
      </c>
      <c r="BA31" s="2">
        <v>0</v>
      </c>
      <c r="BB31" s="2">
        <f t="shared" ref="BB31:BJ31" si="18">BA31</f>
        <v>0</v>
      </c>
      <c r="BC31" s="2">
        <f t="shared" si="18"/>
        <v>0</v>
      </c>
      <c r="BD31" s="2">
        <f t="shared" si="18"/>
        <v>0</v>
      </c>
      <c r="BE31" s="2">
        <f t="shared" si="18"/>
        <v>0</v>
      </c>
      <c r="BF31" s="2">
        <f t="shared" si="18"/>
        <v>0</v>
      </c>
      <c r="BG31" s="2">
        <f t="shared" si="18"/>
        <v>0</v>
      </c>
      <c r="BH31" s="2">
        <f t="shared" si="18"/>
        <v>0</v>
      </c>
      <c r="BI31" s="2">
        <f t="shared" si="18"/>
        <v>0</v>
      </c>
      <c r="BJ31" s="2">
        <f t="shared" si="18"/>
        <v>0</v>
      </c>
      <c r="BK31" s="2">
        <f t="shared" si="12"/>
        <v>0</v>
      </c>
      <c r="BL31" s="2">
        <f t="shared" si="12"/>
        <v>0</v>
      </c>
      <c r="BM31" s="2">
        <f t="shared" si="7"/>
        <v>0</v>
      </c>
      <c r="BN31" s="2">
        <f t="shared" si="7"/>
        <v>0</v>
      </c>
      <c r="BO31" s="2">
        <f t="shared" si="7"/>
        <v>0</v>
      </c>
      <c r="BP31" s="2">
        <f t="shared" si="7"/>
        <v>0</v>
      </c>
      <c r="BQ31" s="2">
        <f t="shared" si="7"/>
        <v>0</v>
      </c>
      <c r="BR31" s="2">
        <f t="shared" si="7"/>
        <v>0</v>
      </c>
      <c r="BS31" s="2">
        <f t="shared" si="7"/>
        <v>0</v>
      </c>
      <c r="BT31" s="2">
        <f t="shared" si="7"/>
        <v>0</v>
      </c>
      <c r="BU31" s="2">
        <f t="shared" si="7"/>
        <v>0</v>
      </c>
      <c r="BV31" s="2">
        <f t="shared" si="7"/>
        <v>0</v>
      </c>
      <c r="BW31" s="2">
        <f t="shared" si="7"/>
        <v>0</v>
      </c>
      <c r="BX31" s="2">
        <f t="shared" si="7"/>
        <v>0</v>
      </c>
      <c r="BY31" s="2">
        <f t="shared" si="7"/>
        <v>0</v>
      </c>
      <c r="BZ31" s="2">
        <f t="shared" si="7"/>
        <v>0</v>
      </c>
      <c r="CA31" s="2">
        <f t="shared" si="7"/>
        <v>0</v>
      </c>
      <c r="CB31" s="2">
        <f t="shared" si="7"/>
        <v>0</v>
      </c>
      <c r="CC31" s="2">
        <f t="shared" si="7"/>
        <v>0</v>
      </c>
      <c r="CD31" s="2">
        <f t="shared" si="7"/>
        <v>0</v>
      </c>
      <c r="CE31" s="2">
        <f t="shared" si="7"/>
        <v>0</v>
      </c>
      <c r="CF31" s="2">
        <f t="shared" si="7"/>
        <v>0</v>
      </c>
      <c r="CG31" s="2">
        <f t="shared" si="7"/>
        <v>0</v>
      </c>
      <c r="CH31" s="2">
        <f t="shared" ref="CH31" si="19">CH30</f>
        <v>0</v>
      </c>
      <c r="CI31" s="2">
        <f t="shared" ref="CI31" si="20">CI30</f>
        <v>0</v>
      </c>
      <c r="CJ31" s="2">
        <f t="shared" ref="CJ31" si="21">CJ30</f>
        <v>0</v>
      </c>
      <c r="CK31" s="2">
        <f t="shared" ref="CK31" si="22">CK30</f>
        <v>0</v>
      </c>
      <c r="CL31" s="2">
        <f t="shared" ref="CL31" si="23">CL30</f>
        <v>0</v>
      </c>
      <c r="CM31" s="2">
        <f t="shared" ref="CM31" si="24">CM30</f>
        <v>0</v>
      </c>
      <c r="CN31" s="2">
        <f t="shared" ref="CN31" si="25">CN30</f>
        <v>0</v>
      </c>
      <c r="CO31" s="2">
        <f t="shared" ref="CO31" si="26">CO30</f>
        <v>0</v>
      </c>
      <c r="CP31" s="2">
        <f t="shared" ref="CP31" si="27">CP30</f>
        <v>0</v>
      </c>
      <c r="CQ31" s="2">
        <f t="shared" ref="CQ31" si="28">CQ30</f>
        <v>0</v>
      </c>
      <c r="CR31" s="2">
        <f t="shared" ref="CR31" si="29">CR30</f>
        <v>0</v>
      </c>
      <c r="CS31" s="2">
        <f t="shared" ref="CS31" si="30">CS30</f>
        <v>0</v>
      </c>
      <c r="CT31" s="2">
        <f t="shared" ref="CT31" si="31">CT30</f>
        <v>0</v>
      </c>
      <c r="CU31" s="2">
        <f t="shared" ref="CU31" si="32">CU30</f>
        <v>0</v>
      </c>
      <c r="CV31" s="2">
        <f t="shared" ref="CV31" si="33">CV30</f>
        <v>0</v>
      </c>
      <c r="CW31" s="2">
        <f t="shared" ref="CW31" si="34">CW30</f>
        <v>0</v>
      </c>
      <c r="CX31" s="2">
        <f t="shared" ref="CX31" si="35">CX30</f>
        <v>0</v>
      </c>
      <c r="CY31" s="2">
        <f t="shared" ref="CY31" si="36">CY30</f>
        <v>0</v>
      </c>
    </row>
    <row r="32" spans="1:103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</row>
    <row r="33" spans="1:103" x14ac:dyDescent="0.45">
      <c r="A33" s="2" t="s">
        <v>127</v>
      </c>
      <c r="B33" s="50">
        <v>4500000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</row>
    <row r="34" spans="1:103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</row>
    <row r="35" spans="1:103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</row>
    <row r="38" spans="1:103" x14ac:dyDescent="0.45">
      <c r="A38" s="46" t="s">
        <v>323</v>
      </c>
      <c r="B38" s="46">
        <v>2010</v>
      </c>
      <c r="C38" s="46">
        <v>2011</v>
      </c>
      <c r="D38" s="46">
        <v>2012</v>
      </c>
      <c r="E38" s="46">
        <v>2013</v>
      </c>
      <c r="F38" s="46">
        <v>2014</v>
      </c>
      <c r="G38" s="46">
        <v>2015</v>
      </c>
      <c r="H38" s="46">
        <v>2016</v>
      </c>
      <c r="I38" s="46">
        <v>2017</v>
      </c>
      <c r="J38" s="46">
        <v>2018</v>
      </c>
      <c r="K38" s="46">
        <v>2019</v>
      </c>
      <c r="L38" s="46">
        <v>2020</v>
      </c>
      <c r="M38" s="46">
        <v>2021</v>
      </c>
      <c r="N38" s="46">
        <v>2022</v>
      </c>
      <c r="O38" s="46">
        <v>2023</v>
      </c>
      <c r="P38" s="46">
        <v>2024</v>
      </c>
      <c r="Q38" s="46">
        <v>2025</v>
      </c>
      <c r="R38" s="46">
        <v>2026</v>
      </c>
      <c r="S38" s="46">
        <v>2027</v>
      </c>
      <c r="T38" s="46">
        <v>2028</v>
      </c>
      <c r="U38" s="46">
        <v>2029</v>
      </c>
      <c r="V38" s="46">
        <v>2030</v>
      </c>
      <c r="W38" s="46">
        <v>2031</v>
      </c>
      <c r="X38" s="46">
        <v>2032</v>
      </c>
      <c r="Y38" s="46">
        <v>2033</v>
      </c>
      <c r="Z38" s="46">
        <v>2034</v>
      </c>
      <c r="AA38" s="46">
        <v>2035</v>
      </c>
      <c r="AB38" s="46">
        <v>2036</v>
      </c>
      <c r="AC38" s="46">
        <v>2037</v>
      </c>
      <c r="AD38" s="46">
        <v>2038</v>
      </c>
      <c r="AE38" s="46">
        <v>2039</v>
      </c>
      <c r="AF38" s="46">
        <v>2040</v>
      </c>
      <c r="AG38" s="46">
        <v>2041</v>
      </c>
      <c r="AH38" s="46">
        <v>2042</v>
      </c>
      <c r="AI38" s="46">
        <v>2043</v>
      </c>
      <c r="AJ38" s="46">
        <v>2044</v>
      </c>
      <c r="AK38" s="46">
        <v>2045</v>
      </c>
      <c r="AL38" s="46">
        <v>2046</v>
      </c>
      <c r="AM38" s="46">
        <v>2047</v>
      </c>
      <c r="AN38" s="46">
        <v>2048</v>
      </c>
      <c r="AO38" s="46">
        <v>2049</v>
      </c>
      <c r="AP38" s="46">
        <v>2050</v>
      </c>
    </row>
    <row r="39" spans="1:103" x14ac:dyDescent="0.45">
      <c r="A39" s="46" t="s">
        <v>295</v>
      </c>
      <c r="B39" s="46">
        <v>3771721</v>
      </c>
      <c r="C39" s="46">
        <v>3789251</v>
      </c>
      <c r="D39" s="46">
        <v>3818205</v>
      </c>
      <c r="E39" s="46">
        <v>3844751</v>
      </c>
      <c r="F39" s="46">
        <v>3870739</v>
      </c>
      <c r="G39" s="46">
        <v>3902690</v>
      </c>
      <c r="H39" s="46">
        <v>3933559</v>
      </c>
      <c r="I39" s="46">
        <v>3965796</v>
      </c>
      <c r="J39" s="46">
        <v>3994283</v>
      </c>
      <c r="K39" s="46">
        <v>4026209</v>
      </c>
      <c r="L39" s="46">
        <v>4044210</v>
      </c>
      <c r="M39" s="46">
        <v>3986842</v>
      </c>
      <c r="N39" s="46">
        <v>4073239</v>
      </c>
      <c r="O39" s="46">
        <v>4149253</v>
      </c>
      <c r="P39" s="46">
        <v>4180868</v>
      </c>
      <c r="Q39" s="46">
        <v>4204515</v>
      </c>
      <c r="R39">
        <v>4227250</v>
      </c>
      <c r="S39">
        <v>4249300</v>
      </c>
      <c r="T39">
        <v>4270650</v>
      </c>
      <c r="U39">
        <v>4290650</v>
      </c>
      <c r="V39">
        <v>4309450</v>
      </c>
      <c r="W39">
        <v>4327000</v>
      </c>
      <c r="X39">
        <v>4343050</v>
      </c>
      <c r="Y39">
        <v>4358150</v>
      </c>
      <c r="Z39">
        <v>4371600</v>
      </c>
      <c r="AA39">
        <v>4383350</v>
      </c>
      <c r="AB39">
        <v>4394250</v>
      </c>
      <c r="AC39">
        <v>4403000</v>
      </c>
      <c r="AD39">
        <v>4410700</v>
      </c>
      <c r="AE39">
        <v>4417600</v>
      </c>
      <c r="AF39">
        <v>4422600</v>
      </c>
      <c r="AG39" s="46"/>
      <c r="AH39" s="46"/>
      <c r="AI39" s="46"/>
      <c r="AJ39" s="46"/>
      <c r="AK39" s="46"/>
      <c r="AL39" s="46"/>
      <c r="AM39" s="46"/>
      <c r="AN39" s="46"/>
      <c r="AO39" s="46"/>
      <c r="AP39" s="46"/>
    </row>
    <row r="40" spans="1:103" x14ac:dyDescent="0.45">
      <c r="A40" s="46" t="s">
        <v>296</v>
      </c>
      <c r="B40" s="46">
        <v>974</v>
      </c>
      <c r="C40" s="46">
        <v>972</v>
      </c>
      <c r="D40" s="46">
        <v>970</v>
      </c>
      <c r="E40" s="46">
        <v>968</v>
      </c>
      <c r="F40" s="46">
        <v>967</v>
      </c>
      <c r="G40" s="46">
        <v>965</v>
      </c>
      <c r="H40" s="46">
        <v>963</v>
      </c>
      <c r="I40" s="46">
        <v>961</v>
      </c>
      <c r="J40" s="46">
        <v>959</v>
      </c>
      <c r="K40" s="46">
        <v>957</v>
      </c>
      <c r="L40" s="46">
        <v>957</v>
      </c>
      <c r="M40" s="46">
        <v>960</v>
      </c>
      <c r="N40" s="46">
        <v>955</v>
      </c>
      <c r="O40" s="46">
        <v>950</v>
      </c>
      <c r="P40" s="46">
        <v>948</v>
      </c>
      <c r="Q40" s="46">
        <v>947</v>
      </c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</row>
    <row r="41" spans="1:103" x14ac:dyDescent="0.45">
      <c r="A41" s="46" t="s">
        <v>297</v>
      </c>
      <c r="B41" s="46">
        <v>8.1999999999999993</v>
      </c>
      <c r="C41" s="46">
        <v>7.9</v>
      </c>
      <c r="D41" s="46">
        <v>7.4</v>
      </c>
      <c r="E41" s="46">
        <v>7</v>
      </c>
      <c r="F41" s="46">
        <v>6.6</v>
      </c>
      <c r="G41" s="46">
        <v>6.2</v>
      </c>
      <c r="H41" s="46">
        <v>5.8</v>
      </c>
      <c r="I41" s="46">
        <v>5.5</v>
      </c>
      <c r="J41" s="46">
        <v>5.2</v>
      </c>
      <c r="K41" s="46">
        <v>4.9000000000000004</v>
      </c>
      <c r="L41" s="46">
        <v>4.5999999999999996</v>
      </c>
      <c r="M41" s="46">
        <v>4.3</v>
      </c>
      <c r="N41" s="46">
        <v>4.0999999999999996</v>
      </c>
      <c r="O41" s="46">
        <v>4</v>
      </c>
      <c r="P41" s="46">
        <v>3.8</v>
      </c>
      <c r="Q41" s="46">
        <v>3.6</v>
      </c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</row>
  </sheetData>
  <phoneticPr fontId="1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7699-A740-4ED5-8696-7099E9BFFD41}">
  <dimension ref="A1:CY58"/>
  <sheetViews>
    <sheetView topLeftCell="A40" workbookViewId="0">
      <selection activeCell="A56" sqref="A56"/>
    </sheetView>
  </sheetViews>
  <sheetFormatPr defaultRowHeight="14.25" x14ac:dyDescent="0.45"/>
  <cols>
    <col min="1" max="1" width="54.86328125" bestFit="1" customWidth="1"/>
    <col min="2" max="7" width="9.1328125" bestFit="1" customWidth="1"/>
    <col min="8" max="12" width="11.73046875" bestFit="1" customWidth="1"/>
    <col min="13" max="103" width="9.1328125" bestFit="1" customWidth="1"/>
  </cols>
  <sheetData>
    <row r="1" spans="1:103" s="5" customFormat="1" x14ac:dyDescent="0.45">
      <c r="A1" s="8" t="s">
        <v>128</v>
      </c>
      <c r="B1" s="8" t="s">
        <v>140</v>
      </c>
    </row>
    <row r="2" spans="1:103" x14ac:dyDescent="0.45">
      <c r="B2" s="8" t="str">
        <f>'2 Resident Population'!B3</f>
        <v>NewBorn</v>
      </c>
      <c r="C2" s="8" t="str">
        <f>'2 Resident Population'!C3</f>
        <v>Age00</v>
      </c>
      <c r="D2" s="8" t="str">
        <f>'2 Resident Population'!D3</f>
        <v>Age01</v>
      </c>
      <c r="E2" s="8" t="str">
        <f>'2 Resident Population'!E3</f>
        <v>Age02</v>
      </c>
      <c r="F2" s="8" t="str">
        <f>'2 Resident Population'!F3</f>
        <v>Age03</v>
      </c>
      <c r="G2" s="8" t="str">
        <f>'2 Resident Population'!G3</f>
        <v>Age04</v>
      </c>
      <c r="H2" s="8" t="str">
        <f>'2 Resident Population'!H3</f>
        <v>Age05</v>
      </c>
      <c r="I2" s="8" t="str">
        <f>'2 Resident Population'!I3</f>
        <v>Age06</v>
      </c>
      <c r="J2" s="8" t="str">
        <f>'2 Resident Population'!J3</f>
        <v>Age07</v>
      </c>
      <c r="K2" s="8" t="str">
        <f>'2 Resident Population'!K3</f>
        <v>Age08</v>
      </c>
      <c r="L2" s="8" t="str">
        <f>'2 Resident Population'!L3</f>
        <v>Age09</v>
      </c>
      <c r="M2" s="8" t="str">
        <f>'2 Resident Population'!M3</f>
        <v>Age10</v>
      </c>
      <c r="N2" s="8" t="str">
        <f>'2 Resident Population'!N3</f>
        <v>Age11</v>
      </c>
      <c r="O2" s="8" t="str">
        <f>'2 Resident Population'!O3</f>
        <v>Age12</v>
      </c>
      <c r="P2" s="8" t="str">
        <f>'2 Resident Population'!P3</f>
        <v>Age13</v>
      </c>
      <c r="Q2" s="8" t="str">
        <f>'2 Resident Population'!Q3</f>
        <v>Age14</v>
      </c>
      <c r="R2" s="8" t="str">
        <f>'2 Resident Population'!R3</f>
        <v>Age15</v>
      </c>
      <c r="S2" s="8" t="str">
        <f>'2 Resident Population'!S3</f>
        <v>Age16</v>
      </c>
      <c r="T2" s="8" t="str">
        <f>'2 Resident Population'!T3</f>
        <v>Age17</v>
      </c>
      <c r="U2" s="8" t="str">
        <f>'2 Resident Population'!U3</f>
        <v>Age18</v>
      </c>
      <c r="V2" s="8" t="str">
        <f>'2 Resident Population'!V3</f>
        <v>Age19</v>
      </c>
      <c r="W2" s="8" t="str">
        <f>'2 Resident Population'!W3</f>
        <v>Age20</v>
      </c>
      <c r="X2" s="8" t="str">
        <f>'2 Resident Population'!X3</f>
        <v>Age21</v>
      </c>
      <c r="Y2" s="8" t="str">
        <f>'2 Resident Population'!Y3</f>
        <v>Age22</v>
      </c>
      <c r="Z2" s="8" t="str">
        <f>'2 Resident Population'!Z3</f>
        <v>Age23</v>
      </c>
      <c r="AA2" s="8" t="str">
        <f>'2 Resident Population'!AA3</f>
        <v>Age24</v>
      </c>
      <c r="AB2" s="8" t="str">
        <f>'2 Resident Population'!AB3</f>
        <v>Age25</v>
      </c>
      <c r="AC2" s="8" t="str">
        <f>'2 Resident Population'!AC3</f>
        <v>Age26</v>
      </c>
      <c r="AD2" s="8" t="str">
        <f>'2 Resident Population'!AD3</f>
        <v>Age27</v>
      </c>
      <c r="AE2" s="8" t="str">
        <f>'2 Resident Population'!AE3</f>
        <v>Age28</v>
      </c>
      <c r="AF2" s="8" t="str">
        <f>'2 Resident Population'!AF3</f>
        <v>Age29</v>
      </c>
      <c r="AG2" s="8" t="str">
        <f>'2 Resident Population'!AG3</f>
        <v>Age30</v>
      </c>
      <c r="AH2" s="8" t="str">
        <f>'2 Resident Population'!AH3</f>
        <v>Age31</v>
      </c>
      <c r="AI2" s="8" t="str">
        <f>'2 Resident Population'!AI3</f>
        <v>Age32</v>
      </c>
      <c r="AJ2" s="8" t="str">
        <f>'2 Resident Population'!AJ3</f>
        <v>Age33</v>
      </c>
      <c r="AK2" s="8" t="str">
        <f>'2 Resident Population'!AK3</f>
        <v>Age34</v>
      </c>
      <c r="AL2" s="8" t="str">
        <f>'2 Resident Population'!AL3</f>
        <v>Age35</v>
      </c>
      <c r="AM2" s="8" t="str">
        <f>'2 Resident Population'!AM3</f>
        <v>Age36</v>
      </c>
      <c r="AN2" s="8" t="str">
        <f>'2 Resident Population'!AN3</f>
        <v>Age37</v>
      </c>
      <c r="AO2" s="8" t="str">
        <f>'2 Resident Population'!AO3</f>
        <v>Age38</v>
      </c>
      <c r="AP2" s="8" t="str">
        <f>'2 Resident Population'!AP3</f>
        <v>Age39</v>
      </c>
      <c r="AQ2" s="8" t="str">
        <f>'2 Resident Population'!AQ3</f>
        <v>Age40</v>
      </c>
      <c r="AR2" s="8" t="str">
        <f>'2 Resident Population'!AR3</f>
        <v>Age41</v>
      </c>
      <c r="AS2" s="8" t="str">
        <f>'2 Resident Population'!AS3</f>
        <v>Age42</v>
      </c>
      <c r="AT2" s="8" t="str">
        <f>'2 Resident Population'!AT3</f>
        <v>Age43</v>
      </c>
      <c r="AU2" s="8" t="str">
        <f>'2 Resident Population'!AU3</f>
        <v>Age44</v>
      </c>
      <c r="AV2" s="8" t="str">
        <f>'2 Resident Population'!AV3</f>
        <v>Age45</v>
      </c>
      <c r="AW2" s="8" t="str">
        <f>'2 Resident Population'!AW3</f>
        <v>Age46</v>
      </c>
      <c r="AX2" s="8" t="str">
        <f>'2 Resident Population'!AX3</f>
        <v>Age47</v>
      </c>
      <c r="AY2" s="8" t="str">
        <f>'2 Resident Population'!AY3</f>
        <v>Age48</v>
      </c>
      <c r="AZ2" s="8" t="str">
        <f>'2 Resident Population'!AZ3</f>
        <v>Age49</v>
      </c>
      <c r="BA2" s="8" t="str">
        <f>'2 Resident Population'!BA3</f>
        <v>Age50</v>
      </c>
      <c r="BB2" s="8" t="str">
        <f>'2 Resident Population'!BB3</f>
        <v>Age51</v>
      </c>
      <c r="BC2" s="8" t="str">
        <f>'2 Resident Population'!BC3</f>
        <v>Age52</v>
      </c>
      <c r="BD2" s="8" t="str">
        <f>'2 Resident Population'!BD3</f>
        <v>Age53</v>
      </c>
      <c r="BE2" s="8" t="str">
        <f>'2 Resident Population'!BE3</f>
        <v>Age54</v>
      </c>
      <c r="BF2" s="8" t="str">
        <f>'2 Resident Population'!BF3</f>
        <v>Age55</v>
      </c>
      <c r="BG2" s="8" t="str">
        <f>'2 Resident Population'!BG3</f>
        <v>Age56</v>
      </c>
      <c r="BH2" s="8" t="str">
        <f>'2 Resident Population'!BH3</f>
        <v>Age57</v>
      </c>
      <c r="BI2" s="8" t="str">
        <f>'2 Resident Population'!BI3</f>
        <v>Age58</v>
      </c>
      <c r="BJ2" s="8" t="str">
        <f>'2 Resident Population'!BJ3</f>
        <v>Age59</v>
      </c>
      <c r="BK2" s="8" t="str">
        <f>'2 Resident Population'!BK3</f>
        <v>Age60</v>
      </c>
      <c r="BL2" s="8" t="str">
        <f>'2 Resident Population'!BL3</f>
        <v>Age61</v>
      </c>
      <c r="BM2" s="8" t="str">
        <f>'2 Resident Population'!BM3</f>
        <v>Age62</v>
      </c>
      <c r="BN2" s="8" t="str">
        <f>'2 Resident Population'!BN3</f>
        <v>Age63</v>
      </c>
      <c r="BO2" s="8" t="str">
        <f>'2 Resident Population'!BO3</f>
        <v>Age64</v>
      </c>
      <c r="BP2" s="8" t="str">
        <f>'2 Resident Population'!BP3</f>
        <v>Age65</v>
      </c>
      <c r="BQ2" s="8" t="str">
        <f>'2 Resident Population'!BQ3</f>
        <v>Age66</v>
      </c>
      <c r="BR2" s="8" t="str">
        <f>'2 Resident Population'!BR3</f>
        <v>Age67</v>
      </c>
      <c r="BS2" s="8" t="str">
        <f>'2 Resident Population'!BS3</f>
        <v>Age68</v>
      </c>
      <c r="BT2" s="8" t="str">
        <f>'2 Resident Population'!BT3</f>
        <v>Age69</v>
      </c>
      <c r="BU2" s="8" t="str">
        <f>'2 Resident Population'!BU3</f>
        <v>Age70</v>
      </c>
      <c r="BV2" s="8" t="str">
        <f>'2 Resident Population'!BV3</f>
        <v>Age71</v>
      </c>
      <c r="BW2" s="8" t="str">
        <f>'2 Resident Population'!BW3</f>
        <v>Age72</v>
      </c>
      <c r="BX2" s="8" t="str">
        <f>'2 Resident Population'!BX3</f>
        <v>Age73</v>
      </c>
      <c r="BY2" s="8" t="str">
        <f>'2 Resident Population'!BY3</f>
        <v>Age74</v>
      </c>
      <c r="BZ2" s="8" t="str">
        <f>'2 Resident Population'!BZ3</f>
        <v>Age75</v>
      </c>
      <c r="CA2" s="8" t="str">
        <f>'2 Resident Population'!CA3</f>
        <v>Age76</v>
      </c>
      <c r="CB2" s="8" t="str">
        <f>'2 Resident Population'!CB3</f>
        <v>Age77</v>
      </c>
      <c r="CC2" s="8" t="str">
        <f>'2 Resident Population'!CC3</f>
        <v>Age78</v>
      </c>
      <c r="CD2" s="8" t="str">
        <f>'2 Resident Population'!CD3</f>
        <v>Age79</v>
      </c>
      <c r="CE2" s="8" t="str">
        <f>'2 Resident Population'!CE3</f>
        <v>Age80</v>
      </c>
      <c r="CF2" s="8" t="str">
        <f>'2 Resident Population'!CF3</f>
        <v>Age81</v>
      </c>
      <c r="CG2" s="8" t="str">
        <f>'2 Resident Population'!CG3</f>
        <v>Age82</v>
      </c>
      <c r="CH2" s="8" t="str">
        <f>'2 Resident Population'!CH3</f>
        <v>Age83</v>
      </c>
      <c r="CI2" s="8" t="str">
        <f>'2 Resident Population'!CI3</f>
        <v>Age84</v>
      </c>
      <c r="CJ2" s="8" t="str">
        <f>'2 Resident Population'!CJ3</f>
        <v>Age85</v>
      </c>
      <c r="CK2" s="8" t="str">
        <f>'2 Resident Population'!CK3</f>
        <v>Age86</v>
      </c>
      <c r="CL2" s="8" t="str">
        <f>'2 Resident Population'!CL3</f>
        <v>Age87</v>
      </c>
      <c r="CM2" s="8" t="str">
        <f>'2 Resident Population'!CM3</f>
        <v>Age88</v>
      </c>
      <c r="CN2" s="8" t="str">
        <f>'2 Resident Population'!CN3</f>
        <v>Age89</v>
      </c>
      <c r="CO2" s="8" t="str">
        <f>'2 Resident Population'!CO3</f>
        <v>Age90</v>
      </c>
      <c r="CP2" s="8" t="str">
        <f>'2 Resident Population'!CP3</f>
        <v>Age91</v>
      </c>
      <c r="CQ2" s="8" t="str">
        <f>'2 Resident Population'!CQ3</f>
        <v>Age92</v>
      </c>
      <c r="CR2" s="8" t="str">
        <f>'2 Resident Population'!CR3</f>
        <v>Age93</v>
      </c>
      <c r="CS2" s="8" t="str">
        <f>'2 Resident Population'!CS3</f>
        <v>Age94</v>
      </c>
      <c r="CT2" s="8" t="str">
        <f>'2 Resident Population'!CT3</f>
        <v>Age95</v>
      </c>
      <c r="CU2" s="8" t="str">
        <f>'2 Resident Population'!CU3</f>
        <v>Age96</v>
      </c>
      <c r="CV2" s="8" t="str">
        <f>'2 Resident Population'!CV3</f>
        <v>Age97</v>
      </c>
      <c r="CW2" s="8" t="str">
        <f>'2 Resident Population'!CW3</f>
        <v>Age98</v>
      </c>
      <c r="CX2" s="8" t="str">
        <f>'2 Resident Population'!CX3</f>
        <v>Age99</v>
      </c>
      <c r="CY2" s="8" t="str">
        <f>'2 Resident Population'!CY3</f>
        <v>Age100and Over</v>
      </c>
    </row>
    <row r="3" spans="1:103" x14ac:dyDescent="0.45">
      <c r="A3" s="2" t="s">
        <v>130</v>
      </c>
      <c r="B3" s="2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>
        <v>32</v>
      </c>
      <c r="AJ3" s="2">
        <v>33</v>
      </c>
      <c r="AK3" s="2">
        <v>34</v>
      </c>
      <c r="AL3" s="2">
        <v>35</v>
      </c>
      <c r="AM3" s="2">
        <v>36</v>
      </c>
      <c r="AN3" s="2">
        <v>37</v>
      </c>
      <c r="AO3" s="2">
        <v>38</v>
      </c>
      <c r="AP3" s="2">
        <v>39</v>
      </c>
      <c r="AQ3" s="2">
        <v>40</v>
      </c>
      <c r="AR3" s="2">
        <v>41</v>
      </c>
      <c r="AS3" s="2">
        <v>42</v>
      </c>
      <c r="AT3" s="2">
        <v>43</v>
      </c>
      <c r="AU3" s="2">
        <v>44</v>
      </c>
      <c r="AV3" s="2">
        <v>45</v>
      </c>
      <c r="AW3" s="2">
        <v>46</v>
      </c>
      <c r="AX3" s="2">
        <v>47</v>
      </c>
      <c r="AY3" s="2">
        <v>48</v>
      </c>
      <c r="AZ3" s="2">
        <v>49</v>
      </c>
      <c r="BA3" s="2">
        <v>50</v>
      </c>
      <c r="BB3" s="2">
        <v>51</v>
      </c>
      <c r="BC3" s="2">
        <v>52</v>
      </c>
      <c r="BD3" s="2">
        <v>53</v>
      </c>
      <c r="BE3" s="2">
        <v>54</v>
      </c>
      <c r="BF3" s="2">
        <v>55</v>
      </c>
      <c r="BG3" s="2">
        <v>56</v>
      </c>
      <c r="BH3" s="2">
        <v>57</v>
      </c>
      <c r="BI3" s="2">
        <v>58</v>
      </c>
      <c r="BJ3" s="2">
        <v>59</v>
      </c>
      <c r="BK3" s="2">
        <v>60</v>
      </c>
      <c r="BL3" s="2">
        <v>61</v>
      </c>
      <c r="BM3" s="2">
        <v>62</v>
      </c>
      <c r="BN3" s="2">
        <v>63</v>
      </c>
      <c r="BO3" s="2">
        <v>64</v>
      </c>
      <c r="BP3" s="2">
        <v>65</v>
      </c>
      <c r="BQ3" s="2">
        <v>66</v>
      </c>
      <c r="BR3" s="2">
        <v>67</v>
      </c>
      <c r="BS3" s="2">
        <v>68</v>
      </c>
      <c r="BT3" s="2">
        <v>69</v>
      </c>
      <c r="BU3" s="2">
        <v>70</v>
      </c>
      <c r="BV3" s="2">
        <v>71</v>
      </c>
      <c r="BW3" s="2">
        <v>72</v>
      </c>
      <c r="BX3" s="2">
        <v>73</v>
      </c>
      <c r="BY3" s="2">
        <v>74</v>
      </c>
      <c r="BZ3" s="2">
        <v>75</v>
      </c>
      <c r="CA3" s="2">
        <v>76</v>
      </c>
      <c r="CB3" s="2">
        <v>77</v>
      </c>
      <c r="CC3" s="2">
        <v>78</v>
      </c>
      <c r="CD3" s="2">
        <v>79</v>
      </c>
      <c r="CE3" s="2">
        <v>80</v>
      </c>
      <c r="CF3" s="2">
        <v>81</v>
      </c>
      <c r="CG3" s="2">
        <v>82</v>
      </c>
      <c r="CH3" s="2">
        <v>83</v>
      </c>
      <c r="CI3" s="2">
        <v>84</v>
      </c>
      <c r="CJ3" s="2">
        <v>85</v>
      </c>
      <c r="CK3" s="2">
        <v>86</v>
      </c>
      <c r="CL3" s="2">
        <v>87</v>
      </c>
      <c r="CM3" s="2">
        <v>88</v>
      </c>
      <c r="CN3" s="2">
        <v>89</v>
      </c>
      <c r="CO3" s="2">
        <v>90</v>
      </c>
      <c r="CP3" s="2">
        <v>91</v>
      </c>
      <c r="CQ3" s="2">
        <v>92</v>
      </c>
      <c r="CR3" s="2">
        <v>93</v>
      </c>
      <c r="CS3" s="2">
        <v>94</v>
      </c>
      <c r="CT3" s="2">
        <v>95</v>
      </c>
      <c r="CU3" s="2">
        <v>96</v>
      </c>
      <c r="CV3" s="2">
        <v>97</v>
      </c>
      <c r="CW3" s="2">
        <v>98</v>
      </c>
      <c r="CX3" s="2">
        <v>99</v>
      </c>
      <c r="CY3" s="2">
        <v>100</v>
      </c>
    </row>
    <row r="4" spans="1:103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</row>
    <row r="5" spans="1:103" x14ac:dyDescent="0.45">
      <c r="A5" s="10" t="s">
        <v>169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8" t="s">
        <v>18</v>
      </c>
      <c r="J5" s="8" t="s">
        <v>19</v>
      </c>
      <c r="K5" s="8" t="s">
        <v>20</v>
      </c>
      <c r="L5" s="8" t="s">
        <v>21</v>
      </c>
      <c r="M5" s="8" t="s">
        <v>22</v>
      </c>
      <c r="N5" s="8" t="s">
        <v>23</v>
      </c>
      <c r="O5" s="8" t="s">
        <v>24</v>
      </c>
      <c r="P5" s="8" t="s">
        <v>25</v>
      </c>
      <c r="Q5" s="8" t="s">
        <v>26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37</v>
      </c>
      <c r="AC5" s="8" t="s">
        <v>38</v>
      </c>
      <c r="AD5" s="8" t="s">
        <v>39</v>
      </c>
      <c r="AE5" s="8" t="s">
        <v>40</v>
      </c>
      <c r="AF5" s="8" t="s">
        <v>41</v>
      </c>
      <c r="AG5" s="8" t="s">
        <v>42</v>
      </c>
      <c r="AH5" s="8" t="s">
        <v>43</v>
      </c>
      <c r="AI5" s="8" t="s">
        <v>44</v>
      </c>
      <c r="AJ5" s="8" t="s">
        <v>45</v>
      </c>
      <c r="AK5" s="8" t="s">
        <v>46</v>
      </c>
      <c r="AL5" s="8" t="s">
        <v>47</v>
      </c>
      <c r="AM5" s="8" t="s">
        <v>48</v>
      </c>
      <c r="AN5" s="8" t="s">
        <v>49</v>
      </c>
      <c r="AO5" s="8" t="s">
        <v>50</v>
      </c>
      <c r="AP5" s="8" t="s">
        <v>51</v>
      </c>
      <c r="AQ5" s="8" t="s">
        <v>52</v>
      </c>
      <c r="AR5" s="8" t="s">
        <v>53</v>
      </c>
      <c r="AS5" s="8" t="s">
        <v>54</v>
      </c>
      <c r="AT5" s="8" t="s">
        <v>55</v>
      </c>
      <c r="AU5" s="8" t="s">
        <v>56</v>
      </c>
      <c r="AV5" s="8" t="s">
        <v>57</v>
      </c>
      <c r="AW5" s="8" t="s">
        <v>58</v>
      </c>
      <c r="AX5" s="8" t="s">
        <v>59</v>
      </c>
      <c r="AY5" s="8" t="s">
        <v>60</v>
      </c>
      <c r="AZ5" s="8" t="s">
        <v>61</v>
      </c>
      <c r="BA5" s="8" t="s">
        <v>62</v>
      </c>
      <c r="BB5" s="8" t="s">
        <v>63</v>
      </c>
      <c r="BC5" s="8" t="s">
        <v>64</v>
      </c>
      <c r="BD5" s="8" t="s">
        <v>65</v>
      </c>
      <c r="BE5" s="8" t="s">
        <v>66</v>
      </c>
      <c r="BF5" s="8" t="s">
        <v>67</v>
      </c>
      <c r="BG5" s="8" t="s">
        <v>68</v>
      </c>
      <c r="BH5" s="8" t="s">
        <v>69</v>
      </c>
      <c r="BI5" s="8" t="s">
        <v>70</v>
      </c>
      <c r="BJ5" s="8" t="s">
        <v>71</v>
      </c>
      <c r="BK5" s="8" t="s">
        <v>72</v>
      </c>
      <c r="BL5" s="8" t="s">
        <v>73</v>
      </c>
      <c r="BM5" s="8" t="s">
        <v>74</v>
      </c>
      <c r="BN5" s="8" t="s">
        <v>75</v>
      </c>
      <c r="BO5" s="8" t="s">
        <v>76</v>
      </c>
      <c r="BP5" s="8" t="s">
        <v>77</v>
      </c>
      <c r="BQ5" s="8" t="s">
        <v>78</v>
      </c>
      <c r="BR5" s="8" t="s">
        <v>79</v>
      </c>
      <c r="BS5" s="8" t="s">
        <v>80</v>
      </c>
      <c r="BT5" s="8" t="s">
        <v>81</v>
      </c>
      <c r="BU5" s="8" t="s">
        <v>82</v>
      </c>
      <c r="BV5" s="8" t="s">
        <v>83</v>
      </c>
      <c r="BW5" s="8" t="s">
        <v>84</v>
      </c>
      <c r="BX5" s="8" t="s">
        <v>85</v>
      </c>
      <c r="BY5" s="8" t="s">
        <v>86</v>
      </c>
      <c r="BZ5" s="8" t="s">
        <v>87</v>
      </c>
      <c r="CA5" s="8" t="s">
        <v>88</v>
      </c>
      <c r="CB5" s="8" t="s">
        <v>89</v>
      </c>
      <c r="CC5" s="8" t="s">
        <v>90</v>
      </c>
      <c r="CD5" s="8" t="s">
        <v>91</v>
      </c>
      <c r="CE5" s="8" t="s">
        <v>92</v>
      </c>
      <c r="CF5" s="8" t="s">
        <v>93</v>
      </c>
      <c r="CG5" s="8" t="s">
        <v>94</v>
      </c>
      <c r="CH5" s="8" t="s">
        <v>95</v>
      </c>
      <c r="CI5" s="8" t="s">
        <v>96</v>
      </c>
      <c r="CJ5" s="8" t="s">
        <v>97</v>
      </c>
      <c r="CK5" s="8" t="s">
        <v>98</v>
      </c>
      <c r="CL5" s="8" t="s">
        <v>99</v>
      </c>
      <c r="CM5" s="8" t="s">
        <v>100</v>
      </c>
      <c r="CN5" s="8" t="s">
        <v>101</v>
      </c>
      <c r="CO5" s="8" t="s">
        <v>102</v>
      </c>
      <c r="CP5" s="8" t="s">
        <v>103</v>
      </c>
      <c r="CQ5" s="8" t="s">
        <v>104</v>
      </c>
      <c r="CR5" s="8" t="s">
        <v>105</v>
      </c>
      <c r="CS5" s="8" t="s">
        <v>106</v>
      </c>
      <c r="CT5" s="8" t="s">
        <v>107</v>
      </c>
      <c r="CU5" s="8" t="s">
        <v>108</v>
      </c>
      <c r="CV5" s="8" t="s">
        <v>109</v>
      </c>
      <c r="CW5" s="8" t="s">
        <v>110</v>
      </c>
      <c r="CX5" s="8" t="s">
        <v>111</v>
      </c>
      <c r="CY5" s="8" t="s">
        <v>112</v>
      </c>
    </row>
    <row r="6" spans="1:103" x14ac:dyDescent="0.45">
      <c r="A6" s="11" t="s">
        <v>131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</row>
    <row r="7" spans="1:103" x14ac:dyDescent="0.45">
      <c r="A7" s="11" t="s">
        <v>132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</row>
    <row r="8" spans="1:103" x14ac:dyDescent="0.45">
      <c r="A8" s="11" t="s">
        <v>133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</row>
    <row r="9" spans="1:103" x14ac:dyDescent="0.45">
      <c r="A9" s="11" t="s">
        <v>134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</row>
    <row r="10" spans="1:103" x14ac:dyDescent="0.45">
      <c r="A10" s="11" t="s">
        <v>135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</row>
    <row r="11" spans="1:103" x14ac:dyDescent="0.45">
      <c r="A11" s="11" t="s">
        <v>136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</row>
    <row r="12" spans="1:103" x14ac:dyDescent="0.45">
      <c r="A12" s="11" t="s">
        <v>137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</row>
    <row r="13" spans="1:103" x14ac:dyDescent="0.45">
      <c r="A13" s="11" t="s">
        <v>138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</row>
    <row r="14" spans="1:103" x14ac:dyDescent="0.45">
      <c r="A14" s="2" t="s">
        <v>269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</row>
    <row r="15" spans="1:103" x14ac:dyDescent="0.45">
      <c r="A15" s="2" t="s">
        <v>270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</row>
    <row r="16" spans="1:103" x14ac:dyDescent="0.45">
      <c r="A16" s="2" t="s">
        <v>271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</row>
    <row r="17" spans="1:103" x14ac:dyDescent="0.45">
      <c r="A17" s="2" t="s">
        <v>272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</row>
    <row r="18" spans="1:103" x14ac:dyDescent="0.45">
      <c r="A18" s="2" t="s">
        <v>273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</row>
    <row r="19" spans="1:103" x14ac:dyDescent="0.45">
      <c r="A19" s="2" t="s">
        <v>274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</row>
    <row r="20" spans="1:103" x14ac:dyDescent="0.45">
      <c r="A20" s="2" t="s">
        <v>275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</row>
    <row r="21" spans="1:103" x14ac:dyDescent="0.45">
      <c r="A21" s="2" t="s">
        <v>276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</row>
    <row r="22" spans="1:103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</row>
    <row r="23" spans="1:103" x14ac:dyDescent="0.45">
      <c r="A23" s="10" t="s">
        <v>290</v>
      </c>
      <c r="B23" s="8" t="s">
        <v>11</v>
      </c>
      <c r="C23" s="8" t="s">
        <v>12</v>
      </c>
      <c r="D23" s="8" t="s">
        <v>13</v>
      </c>
      <c r="E23" s="8" t="s">
        <v>14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  <c r="K23" s="8" t="s">
        <v>20</v>
      </c>
      <c r="L23" s="8" t="s">
        <v>21</v>
      </c>
      <c r="M23" s="8" t="s">
        <v>22</v>
      </c>
      <c r="N23" s="8" t="s">
        <v>23</v>
      </c>
      <c r="O23" s="8" t="s">
        <v>24</v>
      </c>
      <c r="P23" s="8" t="s">
        <v>25</v>
      </c>
      <c r="Q23" s="8" t="s">
        <v>26</v>
      </c>
      <c r="R23" s="8" t="s">
        <v>27</v>
      </c>
      <c r="S23" s="8" t="s">
        <v>28</v>
      </c>
      <c r="T23" s="8" t="s">
        <v>29</v>
      </c>
      <c r="U23" s="8" t="s">
        <v>30</v>
      </c>
      <c r="V23" s="8" t="s">
        <v>31</v>
      </c>
      <c r="W23" s="8" t="s">
        <v>32</v>
      </c>
      <c r="X23" s="8" t="s">
        <v>33</v>
      </c>
      <c r="Y23" s="8" t="s">
        <v>34</v>
      </c>
      <c r="Z23" s="8" t="s">
        <v>35</v>
      </c>
      <c r="AA23" s="8" t="s">
        <v>36</v>
      </c>
      <c r="AB23" s="8" t="s">
        <v>37</v>
      </c>
      <c r="AC23" s="8" t="s">
        <v>38</v>
      </c>
      <c r="AD23" s="8" t="s">
        <v>39</v>
      </c>
      <c r="AE23" s="8" t="s">
        <v>40</v>
      </c>
      <c r="AF23" s="8" t="s">
        <v>41</v>
      </c>
      <c r="AG23" s="8" t="s">
        <v>42</v>
      </c>
      <c r="AH23" s="8" t="s">
        <v>43</v>
      </c>
      <c r="AI23" s="8" t="s">
        <v>44</v>
      </c>
      <c r="AJ23" s="8" t="s">
        <v>45</v>
      </c>
      <c r="AK23" s="8" t="s">
        <v>46</v>
      </c>
      <c r="AL23" s="8" t="s">
        <v>47</v>
      </c>
      <c r="AM23" s="8" t="s">
        <v>48</v>
      </c>
      <c r="AN23" s="8" t="s">
        <v>49</v>
      </c>
      <c r="AO23" s="8" t="s">
        <v>50</v>
      </c>
      <c r="AP23" s="8" t="s">
        <v>51</v>
      </c>
      <c r="AQ23" s="8" t="s">
        <v>52</v>
      </c>
      <c r="AR23" s="8" t="s">
        <v>53</v>
      </c>
      <c r="AS23" s="8" t="s">
        <v>54</v>
      </c>
      <c r="AT23" s="8" t="s">
        <v>55</v>
      </c>
      <c r="AU23" s="8" t="s">
        <v>56</v>
      </c>
      <c r="AV23" s="8" t="s">
        <v>57</v>
      </c>
      <c r="AW23" s="8" t="s">
        <v>58</v>
      </c>
      <c r="AX23" s="8" t="s">
        <v>59</v>
      </c>
      <c r="AY23" s="8" t="s">
        <v>60</v>
      </c>
      <c r="AZ23" s="8" t="s">
        <v>61</v>
      </c>
      <c r="BA23" s="8" t="s">
        <v>62</v>
      </c>
      <c r="BB23" s="8" t="s">
        <v>63</v>
      </c>
      <c r="BC23" s="8" t="s">
        <v>64</v>
      </c>
      <c r="BD23" s="8" t="s">
        <v>65</v>
      </c>
      <c r="BE23" s="8" t="s">
        <v>66</v>
      </c>
      <c r="BF23" s="8" t="s">
        <v>67</v>
      </c>
      <c r="BG23" s="8" t="s">
        <v>68</v>
      </c>
      <c r="BH23" s="8" t="s">
        <v>69</v>
      </c>
      <c r="BI23" s="8" t="s">
        <v>70</v>
      </c>
      <c r="BJ23" s="8" t="s">
        <v>71</v>
      </c>
      <c r="BK23" s="8" t="s">
        <v>72</v>
      </c>
      <c r="BL23" s="8" t="s">
        <v>73</v>
      </c>
      <c r="BM23" s="8" t="s">
        <v>74</v>
      </c>
      <c r="BN23" s="8" t="s">
        <v>75</v>
      </c>
      <c r="BO23" s="8" t="s">
        <v>76</v>
      </c>
      <c r="BP23" s="8" t="s">
        <v>77</v>
      </c>
      <c r="BQ23" s="8" t="s">
        <v>78</v>
      </c>
      <c r="BR23" s="8" t="s">
        <v>79</v>
      </c>
      <c r="BS23" s="8" t="s">
        <v>80</v>
      </c>
      <c r="BT23" s="8" t="s">
        <v>81</v>
      </c>
      <c r="BU23" s="8" t="s">
        <v>82</v>
      </c>
      <c r="BV23" s="8" t="s">
        <v>83</v>
      </c>
      <c r="BW23" s="8" t="s">
        <v>84</v>
      </c>
      <c r="BX23" s="8" t="s">
        <v>85</v>
      </c>
      <c r="BY23" s="8" t="s">
        <v>86</v>
      </c>
      <c r="BZ23" s="8" t="s">
        <v>87</v>
      </c>
      <c r="CA23" s="8" t="s">
        <v>88</v>
      </c>
      <c r="CB23" s="8" t="s">
        <v>89</v>
      </c>
      <c r="CC23" s="8" t="s">
        <v>90</v>
      </c>
      <c r="CD23" s="8" t="s">
        <v>91</v>
      </c>
      <c r="CE23" s="8" t="s">
        <v>92</v>
      </c>
      <c r="CF23" s="8" t="s">
        <v>93</v>
      </c>
      <c r="CG23" s="8" t="s">
        <v>94</v>
      </c>
      <c r="CH23" s="8" t="s">
        <v>95</v>
      </c>
      <c r="CI23" s="8" t="s">
        <v>96</v>
      </c>
      <c r="CJ23" s="8" t="s">
        <v>97</v>
      </c>
      <c r="CK23" s="8" t="s">
        <v>98</v>
      </c>
      <c r="CL23" s="8" t="s">
        <v>99</v>
      </c>
      <c r="CM23" s="8" t="s">
        <v>100</v>
      </c>
      <c r="CN23" s="8" t="s">
        <v>101</v>
      </c>
      <c r="CO23" s="8" t="s">
        <v>102</v>
      </c>
      <c r="CP23" s="8" t="s">
        <v>103</v>
      </c>
      <c r="CQ23" s="8" t="s">
        <v>104</v>
      </c>
      <c r="CR23" s="8" t="s">
        <v>105</v>
      </c>
      <c r="CS23" s="8" t="s">
        <v>106</v>
      </c>
      <c r="CT23" s="8" t="s">
        <v>107</v>
      </c>
      <c r="CU23" s="8" t="s">
        <v>108</v>
      </c>
      <c r="CV23" s="8" t="s">
        <v>109</v>
      </c>
      <c r="CW23" s="8" t="s">
        <v>110</v>
      </c>
      <c r="CX23" s="8" t="s">
        <v>111</v>
      </c>
      <c r="CY23" s="8" t="s">
        <v>112</v>
      </c>
    </row>
    <row r="24" spans="1:103" x14ac:dyDescent="0.45">
      <c r="A24" s="11" t="s">
        <v>153</v>
      </c>
      <c r="B24" s="11">
        <v>0</v>
      </c>
      <c r="C24" s="34">
        <f>'5f. Prevalence 6'!B2</f>
        <v>0</v>
      </c>
      <c r="D24" s="34">
        <f>'5f. Prevalence 6'!C2</f>
        <v>0</v>
      </c>
      <c r="E24" s="34">
        <f>'5f. Prevalence 6'!D2</f>
        <v>0</v>
      </c>
      <c r="F24" s="34">
        <f>'5f. Prevalence 6'!E2</f>
        <v>0</v>
      </c>
      <c r="G24" s="34">
        <f>'5f. Prevalence 6'!F2</f>
        <v>0</v>
      </c>
      <c r="H24" s="34">
        <f>'5f. Prevalence 6'!G2</f>
        <v>0</v>
      </c>
      <c r="I24" s="34">
        <f>'5f. Prevalence 6'!H2</f>
        <v>0</v>
      </c>
      <c r="J24" s="34">
        <f>'5f. Prevalence 6'!I2</f>
        <v>0</v>
      </c>
      <c r="K24" s="34">
        <f>'5f. Prevalence 6'!J2</f>
        <v>0</v>
      </c>
      <c r="L24" s="34">
        <f>'5f. Prevalence 6'!K2</f>
        <v>0</v>
      </c>
      <c r="M24" s="34">
        <f>'5f. Prevalence 6'!L2</f>
        <v>0</v>
      </c>
      <c r="N24" s="34">
        <f>'5f. Prevalence 6'!M2</f>
        <v>0</v>
      </c>
      <c r="O24" s="34">
        <f>'5f. Prevalence 6'!N2</f>
        <v>0</v>
      </c>
      <c r="P24" s="34">
        <f>'5f. Prevalence 6'!O2</f>
        <v>0</v>
      </c>
      <c r="Q24" s="34">
        <f>'5f. Prevalence 6'!P2</f>
        <v>0</v>
      </c>
      <c r="R24" s="34">
        <f>'5f. Prevalence 6'!Q2</f>
        <v>0</v>
      </c>
      <c r="S24" s="34">
        <f>'5f. Prevalence 6'!R2</f>
        <v>0</v>
      </c>
      <c r="T24" s="34">
        <f>'5f. Prevalence 6'!S2</f>
        <v>0</v>
      </c>
      <c r="U24" s="34">
        <f>'5f. Prevalence 6'!T2</f>
        <v>0</v>
      </c>
      <c r="V24" s="34">
        <f>'5f. Prevalence 6'!U2</f>
        <v>0</v>
      </c>
      <c r="W24" s="34">
        <f>'5f. Prevalence 6'!V2</f>
        <v>0</v>
      </c>
      <c r="X24" s="34">
        <f>'5f. Prevalence 6'!W2</f>
        <v>0</v>
      </c>
      <c r="Y24" s="34">
        <f>'5f. Prevalence 6'!X2</f>
        <v>0</v>
      </c>
      <c r="Z24" s="34">
        <f>'5f. Prevalence 6'!Y2</f>
        <v>0</v>
      </c>
      <c r="AA24" s="34">
        <f>'5f. Prevalence 6'!Z2</f>
        <v>0</v>
      </c>
      <c r="AB24" s="34">
        <f>'5f. Prevalence 6'!AA2</f>
        <v>0</v>
      </c>
      <c r="AC24" s="34">
        <f>'5f. Prevalence 6'!AB2</f>
        <v>0</v>
      </c>
      <c r="AD24" s="34">
        <f>'5f. Prevalence 6'!AC2</f>
        <v>0</v>
      </c>
      <c r="AE24" s="34">
        <f>'5f. Prevalence 6'!AD2</f>
        <v>0</v>
      </c>
      <c r="AF24" s="34">
        <f>'5f. Prevalence 6'!AE2</f>
        <v>0</v>
      </c>
      <c r="AG24" s="34">
        <f>'5f. Prevalence 6'!AF2</f>
        <v>0</v>
      </c>
      <c r="AH24" s="34">
        <f>'5f. Prevalence 6'!AG2</f>
        <v>0</v>
      </c>
      <c r="AI24" s="34">
        <f>'5f. Prevalence 6'!AH2</f>
        <v>0</v>
      </c>
      <c r="AJ24" s="34">
        <f>'5f. Prevalence 6'!AI2</f>
        <v>0</v>
      </c>
      <c r="AK24" s="34">
        <f>'5f. Prevalence 6'!AJ2</f>
        <v>0</v>
      </c>
      <c r="AL24" s="34">
        <f>'5f. Prevalence 6'!AK2</f>
        <v>0</v>
      </c>
      <c r="AM24" s="34">
        <f>'5f. Prevalence 6'!AL2</f>
        <v>0</v>
      </c>
      <c r="AN24" s="34">
        <f>'5f. Prevalence 6'!AM2</f>
        <v>0</v>
      </c>
      <c r="AO24" s="34">
        <f>'5f. Prevalence 6'!AN2</f>
        <v>0</v>
      </c>
      <c r="AP24" s="34">
        <f>'5f. Prevalence 6'!AO2</f>
        <v>0</v>
      </c>
      <c r="AQ24" s="34">
        <f>'5f. Prevalence 6'!AP2</f>
        <v>0</v>
      </c>
      <c r="AR24" s="34">
        <f>'5f. Prevalence 6'!AQ2</f>
        <v>0</v>
      </c>
      <c r="AS24" s="34">
        <f>'5f. Prevalence 6'!AR2</f>
        <v>0</v>
      </c>
      <c r="AT24" s="34">
        <f>'5f. Prevalence 6'!AS2</f>
        <v>0</v>
      </c>
      <c r="AU24" s="34">
        <f>'5f. Prevalence 6'!AT2</f>
        <v>0</v>
      </c>
      <c r="AV24" s="34">
        <f>'5f. Prevalence 6'!AU2</f>
        <v>0</v>
      </c>
      <c r="AW24" s="34">
        <f>'5f. Prevalence 6'!AV2</f>
        <v>0</v>
      </c>
      <c r="AX24" s="34">
        <f>'5f. Prevalence 6'!AW2</f>
        <v>0</v>
      </c>
      <c r="AY24" s="34">
        <f>'5f. Prevalence 6'!AX2</f>
        <v>0</v>
      </c>
      <c r="AZ24" s="34">
        <f>'5f. Prevalence 6'!AY2</f>
        <v>0</v>
      </c>
      <c r="BA24" s="34">
        <f>'5f. Prevalence 6'!AZ2</f>
        <v>3.0107073521279978E-3</v>
      </c>
      <c r="BB24" s="34">
        <f>'5f. Prevalence 6'!BA2</f>
        <v>6.0214147042559956E-3</v>
      </c>
      <c r="BC24" s="34">
        <f>'5f. Prevalence 6'!BB2</f>
        <v>9.0321220563839948E-3</v>
      </c>
      <c r="BD24" s="34">
        <f>'5f. Prevalence 6'!BC2</f>
        <v>1.2042829408511991E-2</v>
      </c>
      <c r="BE24" s="34">
        <f>'5f. Prevalence 6'!BD2</f>
        <v>1.505353676063999E-2</v>
      </c>
      <c r="BF24" s="34">
        <f>'5f. Prevalence 6'!BE2</f>
        <v>1.806424411276799E-2</v>
      </c>
      <c r="BG24" s="34">
        <f>'5f. Prevalence 6'!BF2</f>
        <v>2.1074951464895988E-2</v>
      </c>
      <c r="BH24" s="34">
        <f>'5f. Prevalence 6'!BG2</f>
        <v>2.4085658817023983E-2</v>
      </c>
      <c r="BI24" s="34">
        <f>'5f. Prevalence 6'!BH2</f>
        <v>2.7096366169151984E-2</v>
      </c>
      <c r="BJ24" s="34">
        <f>'5f. Prevalence 6'!BI2</f>
        <v>3.0107073521279979E-2</v>
      </c>
      <c r="BK24" s="35">
        <f>'5f. Prevalence 6'!BJ2</f>
        <v>3.3117780873407977E-2</v>
      </c>
      <c r="BL24" s="35">
        <f>'5f. Prevalence 6'!BK2</f>
        <v>3.3117780873407977E-2</v>
      </c>
      <c r="BM24" s="35">
        <f>'5f. Prevalence 6'!BL2</f>
        <v>3.3117780873407977E-2</v>
      </c>
      <c r="BN24" s="35">
        <f>'5f. Prevalence 6'!BM2</f>
        <v>3.3117780873407977E-2</v>
      </c>
      <c r="BO24" s="35">
        <f>'5f. Prevalence 6'!BN2</f>
        <v>3.3117780873407977E-2</v>
      </c>
      <c r="BP24" s="35">
        <f>'5f. Prevalence 6'!BO2</f>
        <v>3.3117780873407977E-2</v>
      </c>
      <c r="BQ24" s="35">
        <f>'5f. Prevalence 6'!BP2</f>
        <v>3.3117780873407977E-2</v>
      </c>
      <c r="BR24" s="35">
        <f>'5f. Prevalence 6'!BQ2</f>
        <v>3.3117780873407977E-2</v>
      </c>
      <c r="BS24" s="35">
        <f>'5f. Prevalence 6'!BR2</f>
        <v>3.3117780873407977E-2</v>
      </c>
      <c r="BT24" s="35">
        <f>'5f. Prevalence 6'!BS2</f>
        <v>3.3117780873407977E-2</v>
      </c>
      <c r="BU24" s="35">
        <f>'5f. Prevalence 6'!BT2</f>
        <v>3.3117780873407977E-2</v>
      </c>
      <c r="BV24" s="35">
        <f>'5f. Prevalence 6'!BU2</f>
        <v>3.3117780873407977E-2</v>
      </c>
      <c r="BW24" s="35">
        <f>'5f. Prevalence 6'!BV2</f>
        <v>3.3117780873407977E-2</v>
      </c>
      <c r="BX24" s="35">
        <f>'5f. Prevalence 6'!BW2</f>
        <v>3.3117780873407977E-2</v>
      </c>
      <c r="BY24" s="35">
        <f>'5f. Prevalence 6'!BX2</f>
        <v>3.3117780873407977E-2</v>
      </c>
      <c r="BZ24" s="35">
        <f>'5f. Prevalence 6'!BY2</f>
        <v>0.10804835916912281</v>
      </c>
      <c r="CA24" s="35">
        <f>'5f. Prevalence 6'!BZ2</f>
        <v>0.10804835916912281</v>
      </c>
      <c r="CB24" s="35">
        <f>'5f. Prevalence 6'!CA2</f>
        <v>0.10804835916912281</v>
      </c>
      <c r="CC24" s="35">
        <f>'5f. Prevalence 6'!CB2</f>
        <v>0.10804835916912281</v>
      </c>
      <c r="CD24" s="35">
        <f>'5f. Prevalence 6'!CC2</f>
        <v>0.10804835916912281</v>
      </c>
      <c r="CE24" s="35">
        <f>'5f. Prevalence 6'!CD2</f>
        <v>0.10804835916912281</v>
      </c>
      <c r="CF24" s="35">
        <f>'5f. Prevalence 6'!CE2</f>
        <v>0.10804835916912281</v>
      </c>
      <c r="CG24" s="35">
        <f>'5f. Prevalence 6'!CF2</f>
        <v>0.10804835916912281</v>
      </c>
      <c r="CH24" s="35">
        <f>'5f. Prevalence 6'!CG2</f>
        <v>0.10804835916912281</v>
      </c>
      <c r="CI24" s="35">
        <f>'5f. Prevalence 6'!CH2</f>
        <v>0.10804835916912281</v>
      </c>
      <c r="CJ24" s="35">
        <f>'5f. Prevalence 6'!CI2</f>
        <v>0.25780987216874102</v>
      </c>
      <c r="CK24" s="35">
        <f>CJ24</f>
        <v>0.25780987216874102</v>
      </c>
      <c r="CL24" s="35">
        <f t="shared" ref="CL24:CY24" si="0">CK24</f>
        <v>0.25780987216874102</v>
      </c>
      <c r="CM24" s="35">
        <f t="shared" si="0"/>
        <v>0.25780987216874102</v>
      </c>
      <c r="CN24" s="35">
        <f t="shared" si="0"/>
        <v>0.25780987216874102</v>
      </c>
      <c r="CO24" s="35">
        <f t="shared" si="0"/>
        <v>0.25780987216874102</v>
      </c>
      <c r="CP24" s="35">
        <f t="shared" si="0"/>
        <v>0.25780987216874102</v>
      </c>
      <c r="CQ24" s="35">
        <f t="shared" si="0"/>
        <v>0.25780987216874102</v>
      </c>
      <c r="CR24" s="35">
        <f t="shared" si="0"/>
        <v>0.25780987216874102</v>
      </c>
      <c r="CS24" s="35">
        <f t="shared" si="0"/>
        <v>0.25780987216874102</v>
      </c>
      <c r="CT24" s="35">
        <f t="shared" si="0"/>
        <v>0.25780987216874102</v>
      </c>
      <c r="CU24" s="35">
        <f t="shared" si="0"/>
        <v>0.25780987216874102</v>
      </c>
      <c r="CV24" s="35">
        <f t="shared" si="0"/>
        <v>0.25780987216874102</v>
      </c>
      <c r="CW24" s="35">
        <f t="shared" si="0"/>
        <v>0.25780987216874102</v>
      </c>
      <c r="CX24" s="35">
        <f t="shared" si="0"/>
        <v>0.25780987216874102</v>
      </c>
      <c r="CY24" s="35">
        <f t="shared" si="0"/>
        <v>0.25780987216874102</v>
      </c>
    </row>
    <row r="25" spans="1:103" x14ac:dyDescent="0.45">
      <c r="A25" s="11" t="s">
        <v>154</v>
      </c>
      <c r="B25" s="11">
        <v>0</v>
      </c>
      <c r="C25" s="11">
        <f>'5f. Prevalence 6'!B3</f>
        <v>0</v>
      </c>
      <c r="D25" s="11">
        <f>'5f. Prevalence 6'!C3</f>
        <v>0</v>
      </c>
      <c r="E25" s="11">
        <f>'5f. Prevalence 6'!D3</f>
        <v>0</v>
      </c>
      <c r="F25" s="11">
        <f>'5f. Prevalence 6'!E3</f>
        <v>0</v>
      </c>
      <c r="G25" s="11">
        <f>'5f. Prevalence 6'!F3</f>
        <v>0</v>
      </c>
      <c r="H25" s="11">
        <f>'5f. Prevalence 6'!G3</f>
        <v>0</v>
      </c>
      <c r="I25" s="11">
        <f>'5f. Prevalence 6'!H3</f>
        <v>0</v>
      </c>
      <c r="J25" s="11">
        <f>'5f. Prevalence 6'!I3</f>
        <v>0</v>
      </c>
      <c r="K25" s="11">
        <f>'5f. Prevalence 6'!J3</f>
        <v>0</v>
      </c>
      <c r="L25" s="11">
        <f>'5f. Prevalence 6'!K3</f>
        <v>0</v>
      </c>
      <c r="M25" s="11">
        <f>'5f. Prevalence 6'!L3</f>
        <v>0</v>
      </c>
      <c r="N25" s="11">
        <f>'5f. Prevalence 6'!M3</f>
        <v>0</v>
      </c>
      <c r="O25" s="11">
        <f>'5f. Prevalence 6'!N3</f>
        <v>0</v>
      </c>
      <c r="P25" s="11">
        <f>'5f. Prevalence 6'!O3</f>
        <v>0</v>
      </c>
      <c r="Q25" s="11">
        <f>'5f. Prevalence 6'!P3</f>
        <v>0</v>
      </c>
      <c r="R25" s="11">
        <f>'5f. Prevalence 6'!Q3</f>
        <v>0</v>
      </c>
      <c r="S25" s="11">
        <f>'5f. Prevalence 6'!R3</f>
        <v>0</v>
      </c>
      <c r="T25" s="11">
        <f>'5f. Prevalence 6'!S3</f>
        <v>0</v>
      </c>
      <c r="U25" s="11">
        <f>'5f. Prevalence 6'!T3</f>
        <v>0</v>
      </c>
      <c r="V25" s="11">
        <f>'5f. Prevalence 6'!U3</f>
        <v>0</v>
      </c>
      <c r="W25" s="11">
        <f>'5f. Prevalence 6'!V3</f>
        <v>0</v>
      </c>
      <c r="X25" s="11">
        <f>'5f. Prevalence 6'!W3</f>
        <v>0</v>
      </c>
      <c r="Y25" s="11">
        <f>'5f. Prevalence 6'!X3</f>
        <v>0</v>
      </c>
      <c r="Z25" s="11">
        <f>'5f. Prevalence 6'!Y3</f>
        <v>0</v>
      </c>
      <c r="AA25" s="11">
        <f>'5f. Prevalence 6'!Z3</f>
        <v>0</v>
      </c>
      <c r="AB25" s="11">
        <f>'5f. Prevalence 6'!AA3</f>
        <v>0</v>
      </c>
      <c r="AC25" s="11">
        <f>'5f. Prevalence 6'!AB3</f>
        <v>0</v>
      </c>
      <c r="AD25" s="11">
        <f>'5f. Prevalence 6'!AC3</f>
        <v>0</v>
      </c>
      <c r="AE25" s="11">
        <f>'5f. Prevalence 6'!AD3</f>
        <v>0</v>
      </c>
      <c r="AF25" s="11">
        <f>'5f. Prevalence 6'!AE3</f>
        <v>0</v>
      </c>
      <c r="AG25" s="11">
        <f>'5f. Prevalence 6'!AF3</f>
        <v>0</v>
      </c>
      <c r="AH25" s="11">
        <f>'5f. Prevalence 6'!AG3</f>
        <v>0</v>
      </c>
      <c r="AI25" s="11">
        <f>'5f. Prevalence 6'!AH3</f>
        <v>0</v>
      </c>
      <c r="AJ25" s="11">
        <f>'5f. Prevalence 6'!AI3</f>
        <v>0</v>
      </c>
      <c r="AK25" s="11">
        <f>'5f. Prevalence 6'!AJ3</f>
        <v>0</v>
      </c>
      <c r="AL25" s="11">
        <f>'5f. Prevalence 6'!AK3</f>
        <v>0</v>
      </c>
      <c r="AM25" s="11">
        <f>'5f. Prevalence 6'!AL3</f>
        <v>0</v>
      </c>
      <c r="AN25" s="11">
        <f>'5f. Prevalence 6'!AM3</f>
        <v>0</v>
      </c>
      <c r="AO25" s="11">
        <f>'5f. Prevalence 6'!AN3</f>
        <v>0</v>
      </c>
      <c r="AP25" s="11">
        <f>'5f. Prevalence 6'!AO3</f>
        <v>0</v>
      </c>
      <c r="AQ25" s="11">
        <f>'5f. Prevalence 6'!AP3</f>
        <v>0</v>
      </c>
      <c r="AR25" s="11">
        <f>'5f. Prevalence 6'!AQ3</f>
        <v>0</v>
      </c>
      <c r="AS25" s="11">
        <f>'5f. Prevalence 6'!AR3</f>
        <v>0</v>
      </c>
      <c r="AT25" s="11">
        <f>'5f. Prevalence 6'!AS3</f>
        <v>0</v>
      </c>
      <c r="AU25" s="11">
        <f>'5f. Prevalence 6'!AT3</f>
        <v>0</v>
      </c>
      <c r="AV25" s="11">
        <f>'5f. Prevalence 6'!AU3</f>
        <v>0</v>
      </c>
      <c r="AW25" s="11">
        <f>'5f. Prevalence 6'!AV3</f>
        <v>0</v>
      </c>
      <c r="AX25" s="11">
        <f>'5f. Prevalence 6'!AW3</f>
        <v>0</v>
      </c>
      <c r="AY25" s="11">
        <f>'5f. Prevalence 6'!AX3</f>
        <v>0</v>
      </c>
      <c r="AZ25" s="11">
        <f>'5f. Prevalence 6'!AY3</f>
        <v>0</v>
      </c>
      <c r="BA25" s="11">
        <f>'5f. Prevalence 6'!AZ3</f>
        <v>3.204032616396298E-3</v>
      </c>
      <c r="BB25" s="11">
        <f>'5f. Prevalence 6'!BA3</f>
        <v>6.4080652327925961E-3</v>
      </c>
      <c r="BC25" s="11">
        <f>'5f. Prevalence 6'!BB3</f>
        <v>9.6120978491888946E-3</v>
      </c>
      <c r="BD25" s="11">
        <f>'5f. Prevalence 6'!BC3</f>
        <v>1.2816130465585192E-2</v>
      </c>
      <c r="BE25" s="11">
        <f>'5f. Prevalence 6'!BD3</f>
        <v>1.6020163081981491E-2</v>
      </c>
      <c r="BF25" s="11">
        <f>'5f. Prevalence 6'!BE3</f>
        <v>1.9224195698377789E-2</v>
      </c>
      <c r="BG25" s="11">
        <f>'5f. Prevalence 6'!BF3</f>
        <v>2.2428228314774087E-2</v>
      </c>
      <c r="BH25" s="11">
        <f>'5f. Prevalence 6'!BG3</f>
        <v>2.5632260931170384E-2</v>
      </c>
      <c r="BI25" s="11">
        <f>'5f. Prevalence 6'!BH3</f>
        <v>2.8836293547566682E-2</v>
      </c>
      <c r="BJ25" s="11">
        <f>'5f. Prevalence 6'!BI3</f>
        <v>3.2040326163962983E-2</v>
      </c>
      <c r="BK25" s="35">
        <f>'5f. Prevalence 6'!BJ3</f>
        <v>3.5244358780359281E-2</v>
      </c>
      <c r="BL25" s="35">
        <f>'5f. Prevalence 6'!BK3</f>
        <v>3.5244358780359281E-2</v>
      </c>
      <c r="BM25" s="35">
        <f>'5f. Prevalence 6'!BL3</f>
        <v>3.5244358780359281E-2</v>
      </c>
      <c r="BN25" s="35">
        <f>'5f. Prevalence 6'!BM3</f>
        <v>3.5244358780359281E-2</v>
      </c>
      <c r="BO25" s="35">
        <f>'5f. Prevalence 6'!BN3</f>
        <v>3.5244358780359281E-2</v>
      </c>
      <c r="BP25" s="35">
        <f>'5f. Prevalence 6'!BO3</f>
        <v>3.5244358780359281E-2</v>
      </c>
      <c r="BQ25" s="35">
        <f>'5f. Prevalence 6'!BP3</f>
        <v>3.5244358780359281E-2</v>
      </c>
      <c r="BR25" s="35">
        <f>'5f. Prevalence 6'!BQ3</f>
        <v>3.5244358780359281E-2</v>
      </c>
      <c r="BS25" s="35">
        <f>'5f. Prevalence 6'!BR3</f>
        <v>3.5244358780359281E-2</v>
      </c>
      <c r="BT25" s="35">
        <f>'5f. Prevalence 6'!BS3</f>
        <v>3.5244358780359281E-2</v>
      </c>
      <c r="BU25" s="35">
        <f>'5f. Prevalence 6'!BT3</f>
        <v>3.5244358780359281E-2</v>
      </c>
      <c r="BV25" s="35">
        <f>'5f. Prevalence 6'!BU3</f>
        <v>3.5244358780359281E-2</v>
      </c>
      <c r="BW25" s="35">
        <f>'5f. Prevalence 6'!BV3</f>
        <v>3.5244358780359281E-2</v>
      </c>
      <c r="BX25" s="35">
        <f>'5f. Prevalence 6'!BW3</f>
        <v>3.5244358780359281E-2</v>
      </c>
      <c r="BY25" s="35">
        <f>'5f. Prevalence 6'!BX3</f>
        <v>3.5244358780359281E-2</v>
      </c>
      <c r="BZ25" s="35">
        <f>'5f. Prevalence 6'!BY3</f>
        <v>0.10916871872487391</v>
      </c>
      <c r="CA25" s="35">
        <f>'5f. Prevalence 6'!BZ3</f>
        <v>0.10916871872487391</v>
      </c>
      <c r="CB25" s="35">
        <f>'5f. Prevalence 6'!CA3</f>
        <v>0.10916871872487391</v>
      </c>
      <c r="CC25" s="35">
        <f>'5f. Prevalence 6'!CB3</f>
        <v>0.10916871872487391</v>
      </c>
      <c r="CD25" s="35">
        <f>'5f. Prevalence 6'!CC3</f>
        <v>0.10916871872487391</v>
      </c>
      <c r="CE25" s="35">
        <f>'5f. Prevalence 6'!CD3</f>
        <v>0.10916871872487391</v>
      </c>
      <c r="CF25" s="35">
        <f>'5f. Prevalence 6'!CE3</f>
        <v>0.10916871872487391</v>
      </c>
      <c r="CG25" s="35">
        <f>'5f. Prevalence 6'!CF3</f>
        <v>0.10916871872487391</v>
      </c>
      <c r="CH25" s="35">
        <f>'5f. Prevalence 6'!CG3</f>
        <v>0.10916871872487391</v>
      </c>
      <c r="CI25" s="35">
        <f>'5f. Prevalence 6'!CH3</f>
        <v>0.10916871872487391</v>
      </c>
      <c r="CJ25" s="35">
        <f>'5f. Prevalence 6'!CI3</f>
        <v>0.25222712297347016</v>
      </c>
      <c r="CK25" s="35">
        <f t="shared" ref="CK25:CY31" si="1">CJ25</f>
        <v>0.25222712297347016</v>
      </c>
      <c r="CL25" s="35">
        <f t="shared" si="1"/>
        <v>0.25222712297347016</v>
      </c>
      <c r="CM25" s="35">
        <f t="shared" si="1"/>
        <v>0.25222712297347016</v>
      </c>
      <c r="CN25" s="35">
        <f t="shared" si="1"/>
        <v>0.25222712297347016</v>
      </c>
      <c r="CO25" s="35">
        <f t="shared" si="1"/>
        <v>0.25222712297347016</v>
      </c>
      <c r="CP25" s="35">
        <f t="shared" si="1"/>
        <v>0.25222712297347016</v>
      </c>
      <c r="CQ25" s="35">
        <f t="shared" si="1"/>
        <v>0.25222712297347016</v>
      </c>
      <c r="CR25" s="35">
        <f t="shared" si="1"/>
        <v>0.25222712297347016</v>
      </c>
      <c r="CS25" s="35">
        <f t="shared" si="1"/>
        <v>0.25222712297347016</v>
      </c>
      <c r="CT25" s="35">
        <f t="shared" si="1"/>
        <v>0.25222712297347016</v>
      </c>
      <c r="CU25" s="35">
        <f t="shared" si="1"/>
        <v>0.25222712297347016</v>
      </c>
      <c r="CV25" s="35">
        <f t="shared" si="1"/>
        <v>0.25222712297347016</v>
      </c>
      <c r="CW25" s="35">
        <f t="shared" si="1"/>
        <v>0.25222712297347016</v>
      </c>
      <c r="CX25" s="35">
        <f t="shared" si="1"/>
        <v>0.25222712297347016</v>
      </c>
      <c r="CY25" s="35">
        <f t="shared" si="1"/>
        <v>0.25222712297347016</v>
      </c>
    </row>
    <row r="26" spans="1:103" x14ac:dyDescent="0.45">
      <c r="A26" s="11" t="s">
        <v>155</v>
      </c>
      <c r="B26" s="11">
        <v>0</v>
      </c>
      <c r="C26" s="11">
        <f>'5f. Prevalence 6'!B4</f>
        <v>0</v>
      </c>
      <c r="D26" s="11">
        <f>'5f. Prevalence 6'!C4</f>
        <v>0</v>
      </c>
      <c r="E26" s="11">
        <f>'5f. Prevalence 6'!D4</f>
        <v>0</v>
      </c>
      <c r="F26" s="11">
        <f>'5f. Prevalence 6'!E4</f>
        <v>0</v>
      </c>
      <c r="G26" s="11">
        <f>'5f. Prevalence 6'!F4</f>
        <v>0</v>
      </c>
      <c r="H26" s="11">
        <f>'5f. Prevalence 6'!G4</f>
        <v>0</v>
      </c>
      <c r="I26" s="11">
        <f>'5f. Prevalence 6'!H4</f>
        <v>0</v>
      </c>
      <c r="J26" s="11">
        <f>'5f. Prevalence 6'!I4</f>
        <v>0</v>
      </c>
      <c r="K26" s="11">
        <f>'5f. Prevalence 6'!J4</f>
        <v>0</v>
      </c>
      <c r="L26" s="11">
        <f>'5f. Prevalence 6'!K4</f>
        <v>0</v>
      </c>
      <c r="M26" s="11">
        <f>'5f. Prevalence 6'!L4</f>
        <v>0</v>
      </c>
      <c r="N26" s="11">
        <f>'5f. Prevalence 6'!M4</f>
        <v>0</v>
      </c>
      <c r="O26" s="11">
        <f>'5f. Prevalence 6'!N4</f>
        <v>0</v>
      </c>
      <c r="P26" s="11">
        <f>'5f. Prevalence 6'!O4</f>
        <v>0</v>
      </c>
      <c r="Q26" s="11">
        <f>'5f. Prevalence 6'!P4</f>
        <v>0</v>
      </c>
      <c r="R26" s="11">
        <f>'5f. Prevalence 6'!Q4</f>
        <v>0</v>
      </c>
      <c r="S26" s="11">
        <f>'5f. Prevalence 6'!R4</f>
        <v>0</v>
      </c>
      <c r="T26" s="11">
        <f>'5f. Prevalence 6'!S4</f>
        <v>0</v>
      </c>
      <c r="U26" s="11">
        <f>'5f. Prevalence 6'!T4</f>
        <v>0</v>
      </c>
      <c r="V26" s="11">
        <f>'5f. Prevalence 6'!U4</f>
        <v>0</v>
      </c>
      <c r="W26" s="11">
        <f>'5f. Prevalence 6'!V4</f>
        <v>0</v>
      </c>
      <c r="X26" s="11">
        <f>'5f. Prevalence 6'!W4</f>
        <v>0</v>
      </c>
      <c r="Y26" s="11">
        <f>'5f. Prevalence 6'!X4</f>
        <v>0</v>
      </c>
      <c r="Z26" s="11">
        <f>'5f. Prevalence 6'!Y4</f>
        <v>0</v>
      </c>
      <c r="AA26" s="11">
        <f>'5f. Prevalence 6'!Z4</f>
        <v>0</v>
      </c>
      <c r="AB26" s="11">
        <f>'5f. Prevalence 6'!AA4</f>
        <v>0</v>
      </c>
      <c r="AC26" s="11">
        <f>'5f. Prevalence 6'!AB4</f>
        <v>0</v>
      </c>
      <c r="AD26" s="11">
        <f>'5f. Prevalence 6'!AC4</f>
        <v>0</v>
      </c>
      <c r="AE26" s="11">
        <f>'5f. Prevalence 6'!AD4</f>
        <v>0</v>
      </c>
      <c r="AF26" s="11">
        <f>'5f. Prevalence 6'!AE4</f>
        <v>0</v>
      </c>
      <c r="AG26" s="11">
        <f>'5f. Prevalence 6'!AF4</f>
        <v>0</v>
      </c>
      <c r="AH26" s="11">
        <f>'5f. Prevalence 6'!AG4</f>
        <v>0</v>
      </c>
      <c r="AI26" s="11">
        <f>'5f. Prevalence 6'!AH4</f>
        <v>0</v>
      </c>
      <c r="AJ26" s="11">
        <f>'5f. Prevalence 6'!AI4</f>
        <v>0</v>
      </c>
      <c r="AK26" s="11">
        <f>'5f. Prevalence 6'!AJ4</f>
        <v>0</v>
      </c>
      <c r="AL26" s="11">
        <f>'5f. Prevalence 6'!AK4</f>
        <v>0</v>
      </c>
      <c r="AM26" s="11">
        <f>'5f. Prevalence 6'!AL4</f>
        <v>0</v>
      </c>
      <c r="AN26" s="11">
        <f>'5f. Prevalence 6'!AM4</f>
        <v>0</v>
      </c>
      <c r="AO26" s="11">
        <f>'5f. Prevalence 6'!AN4</f>
        <v>0</v>
      </c>
      <c r="AP26" s="11">
        <f>'5f. Prevalence 6'!AO4</f>
        <v>0</v>
      </c>
      <c r="AQ26" s="11">
        <f>'5f. Prevalence 6'!AP4</f>
        <v>0</v>
      </c>
      <c r="AR26" s="11">
        <f>'5f. Prevalence 6'!AQ4</f>
        <v>0</v>
      </c>
      <c r="AS26" s="11">
        <f>'5f. Prevalence 6'!AR4</f>
        <v>0</v>
      </c>
      <c r="AT26" s="11">
        <f>'5f. Prevalence 6'!AS4</f>
        <v>0</v>
      </c>
      <c r="AU26" s="11">
        <f>'5f. Prevalence 6'!AT4</f>
        <v>0</v>
      </c>
      <c r="AV26" s="11">
        <f>'5f. Prevalence 6'!AU4</f>
        <v>0</v>
      </c>
      <c r="AW26" s="11">
        <f>'5f. Prevalence 6'!AV4</f>
        <v>0</v>
      </c>
      <c r="AX26" s="11">
        <f>'5f. Prevalence 6'!AW4</f>
        <v>0</v>
      </c>
      <c r="AY26" s="11">
        <f>'5f. Prevalence 6'!AX4</f>
        <v>0</v>
      </c>
      <c r="AZ26" s="11">
        <f>'5f. Prevalence 6'!AY4</f>
        <v>0</v>
      </c>
      <c r="BA26" s="11">
        <f>'5f. Prevalence 6'!AZ4</f>
        <v>3.7738621961182243E-3</v>
      </c>
      <c r="BB26" s="11">
        <f>'5f. Prevalence 6'!BA4</f>
        <v>7.5477243922364486E-3</v>
      </c>
      <c r="BC26" s="11">
        <f>'5f. Prevalence 6'!BB4</f>
        <v>1.1321586588354672E-2</v>
      </c>
      <c r="BD26" s="11">
        <f>'5f. Prevalence 6'!BC4</f>
        <v>1.5095448784472897E-2</v>
      </c>
      <c r="BE26" s="11">
        <f>'5f. Prevalence 6'!BD4</f>
        <v>1.8869310980591122E-2</v>
      </c>
      <c r="BF26" s="11">
        <f>'5f. Prevalence 6'!BE4</f>
        <v>2.2643173176709344E-2</v>
      </c>
      <c r="BG26" s="11">
        <f>'5f. Prevalence 6'!BF4</f>
        <v>2.6417035372827569E-2</v>
      </c>
      <c r="BH26" s="11">
        <f>'5f. Prevalence 6'!BG4</f>
        <v>3.0190897568945795E-2</v>
      </c>
      <c r="BI26" s="11">
        <f>'5f. Prevalence 6'!BH4</f>
        <v>3.3964759765064016E-2</v>
      </c>
      <c r="BJ26" s="11">
        <f>'5f. Prevalence 6'!BI4</f>
        <v>3.7738621961182245E-2</v>
      </c>
      <c r="BK26" s="35">
        <f>'5f. Prevalence 6'!BJ4</f>
        <v>4.1512484157300467E-2</v>
      </c>
      <c r="BL26" s="35">
        <f>'5f. Prevalence 6'!BK4</f>
        <v>4.1512484157300467E-2</v>
      </c>
      <c r="BM26" s="35">
        <f>'5f. Prevalence 6'!BL4</f>
        <v>4.1512484157300467E-2</v>
      </c>
      <c r="BN26" s="35">
        <f>'5f. Prevalence 6'!BM4</f>
        <v>4.1512484157300467E-2</v>
      </c>
      <c r="BO26" s="35">
        <f>'5f. Prevalence 6'!BN4</f>
        <v>4.1512484157300467E-2</v>
      </c>
      <c r="BP26" s="35">
        <f>'5f. Prevalence 6'!BO4</f>
        <v>4.1512484157300467E-2</v>
      </c>
      <c r="BQ26" s="35">
        <f>'5f. Prevalence 6'!BP4</f>
        <v>4.1512484157300467E-2</v>
      </c>
      <c r="BR26" s="35">
        <f>'5f. Prevalence 6'!BQ4</f>
        <v>4.1512484157300467E-2</v>
      </c>
      <c r="BS26" s="35">
        <f>'5f. Prevalence 6'!BR4</f>
        <v>4.1512484157300467E-2</v>
      </c>
      <c r="BT26" s="35">
        <f>'5f. Prevalence 6'!BS4</f>
        <v>4.1512484157300467E-2</v>
      </c>
      <c r="BU26" s="35">
        <f>'5f. Prevalence 6'!BT4</f>
        <v>4.1512484157300467E-2</v>
      </c>
      <c r="BV26" s="35">
        <f>'5f. Prevalence 6'!BU4</f>
        <v>4.1512484157300467E-2</v>
      </c>
      <c r="BW26" s="35">
        <f>'5f. Prevalence 6'!BV4</f>
        <v>4.1512484157300467E-2</v>
      </c>
      <c r="BX26" s="35">
        <f>'5f. Prevalence 6'!BW4</f>
        <v>4.1512484157300467E-2</v>
      </c>
      <c r="BY26" s="35">
        <f>'5f. Prevalence 6'!BX4</f>
        <v>4.1512484157300467E-2</v>
      </c>
      <c r="BZ26" s="35">
        <f>'5f. Prevalence 6'!BY4</f>
        <v>0.1247479770864766</v>
      </c>
      <c r="CA26" s="35">
        <f>'5f. Prevalence 6'!BZ4</f>
        <v>0.1247479770864766</v>
      </c>
      <c r="CB26" s="35">
        <f>'5f. Prevalence 6'!CA4</f>
        <v>0.1247479770864766</v>
      </c>
      <c r="CC26" s="35">
        <f>'5f. Prevalence 6'!CB4</f>
        <v>0.1247479770864766</v>
      </c>
      <c r="CD26" s="35">
        <f>'5f. Prevalence 6'!CC4</f>
        <v>0.1247479770864766</v>
      </c>
      <c r="CE26" s="35">
        <f>'5f. Prevalence 6'!CD4</f>
        <v>0.1247479770864766</v>
      </c>
      <c r="CF26" s="35">
        <f>'5f. Prevalence 6'!CE4</f>
        <v>0.1247479770864766</v>
      </c>
      <c r="CG26" s="35">
        <f>'5f. Prevalence 6'!CF4</f>
        <v>0.1247479770864766</v>
      </c>
      <c r="CH26" s="35">
        <f>'5f. Prevalence 6'!CG4</f>
        <v>0.1247479770864766</v>
      </c>
      <c r="CI26" s="35">
        <f>'5f. Prevalence 6'!CH4</f>
        <v>0.1247479770864766</v>
      </c>
      <c r="CJ26" s="35">
        <f>'5f. Prevalence 6'!CI4</f>
        <v>0.27895342173984355</v>
      </c>
      <c r="CK26" s="35">
        <f t="shared" si="1"/>
        <v>0.27895342173984355</v>
      </c>
      <c r="CL26" s="35">
        <f t="shared" si="1"/>
        <v>0.27895342173984355</v>
      </c>
      <c r="CM26" s="35">
        <f t="shared" si="1"/>
        <v>0.27895342173984355</v>
      </c>
      <c r="CN26" s="35">
        <f t="shared" si="1"/>
        <v>0.27895342173984355</v>
      </c>
      <c r="CO26" s="35">
        <f t="shared" si="1"/>
        <v>0.27895342173984355</v>
      </c>
      <c r="CP26" s="35">
        <f t="shared" si="1"/>
        <v>0.27895342173984355</v>
      </c>
      <c r="CQ26" s="35">
        <f t="shared" si="1"/>
        <v>0.27895342173984355</v>
      </c>
      <c r="CR26" s="35">
        <f t="shared" si="1"/>
        <v>0.27895342173984355</v>
      </c>
      <c r="CS26" s="35">
        <f t="shared" si="1"/>
        <v>0.27895342173984355</v>
      </c>
      <c r="CT26" s="35">
        <f t="shared" si="1"/>
        <v>0.27895342173984355</v>
      </c>
      <c r="CU26" s="35">
        <f t="shared" si="1"/>
        <v>0.27895342173984355</v>
      </c>
      <c r="CV26" s="35">
        <f t="shared" si="1"/>
        <v>0.27895342173984355</v>
      </c>
      <c r="CW26" s="35">
        <f t="shared" si="1"/>
        <v>0.27895342173984355</v>
      </c>
      <c r="CX26" s="35">
        <f t="shared" si="1"/>
        <v>0.27895342173984355</v>
      </c>
      <c r="CY26" s="35">
        <f t="shared" si="1"/>
        <v>0.27895342173984355</v>
      </c>
    </row>
    <row r="27" spans="1:103" x14ac:dyDescent="0.45">
      <c r="A27" s="11" t="s">
        <v>156</v>
      </c>
      <c r="B27" s="11">
        <v>0</v>
      </c>
      <c r="C27" s="11">
        <f>'5f. Prevalence 6'!B5</f>
        <v>0</v>
      </c>
      <c r="D27" s="11">
        <f>'5f. Prevalence 6'!C5</f>
        <v>0</v>
      </c>
      <c r="E27" s="11">
        <f>'5f. Prevalence 6'!D5</f>
        <v>0</v>
      </c>
      <c r="F27" s="11">
        <f>'5f. Prevalence 6'!E5</f>
        <v>0</v>
      </c>
      <c r="G27" s="11">
        <f>'5f. Prevalence 6'!F5</f>
        <v>0</v>
      </c>
      <c r="H27" s="11">
        <f>'5f. Prevalence 6'!G5</f>
        <v>0</v>
      </c>
      <c r="I27" s="11">
        <f>'5f. Prevalence 6'!H5</f>
        <v>0</v>
      </c>
      <c r="J27" s="11">
        <f>'5f. Prevalence 6'!I5</f>
        <v>0</v>
      </c>
      <c r="K27" s="11">
        <f>'5f. Prevalence 6'!J5</f>
        <v>0</v>
      </c>
      <c r="L27" s="11">
        <f>'5f. Prevalence 6'!K5</f>
        <v>0</v>
      </c>
      <c r="M27" s="11">
        <f>'5f. Prevalence 6'!L5</f>
        <v>0</v>
      </c>
      <c r="N27" s="11">
        <f>'5f. Prevalence 6'!M5</f>
        <v>0</v>
      </c>
      <c r="O27" s="11">
        <f>'5f. Prevalence 6'!N5</f>
        <v>0</v>
      </c>
      <c r="P27" s="11">
        <f>'5f. Prevalence 6'!O5</f>
        <v>0</v>
      </c>
      <c r="Q27" s="11">
        <f>'5f. Prevalence 6'!P5</f>
        <v>0</v>
      </c>
      <c r="R27" s="11">
        <f>'5f. Prevalence 6'!Q5</f>
        <v>0</v>
      </c>
      <c r="S27" s="11">
        <f>'5f. Prevalence 6'!R5</f>
        <v>0</v>
      </c>
      <c r="T27" s="11">
        <f>'5f. Prevalence 6'!S5</f>
        <v>0</v>
      </c>
      <c r="U27" s="11">
        <f>'5f. Prevalence 6'!T5</f>
        <v>0</v>
      </c>
      <c r="V27" s="11">
        <f>'5f. Prevalence 6'!U5</f>
        <v>0</v>
      </c>
      <c r="W27" s="11">
        <f>'5f. Prevalence 6'!V5</f>
        <v>0</v>
      </c>
      <c r="X27" s="11">
        <f>'5f. Prevalence 6'!W5</f>
        <v>0</v>
      </c>
      <c r="Y27" s="11">
        <f>'5f. Prevalence 6'!X5</f>
        <v>0</v>
      </c>
      <c r="Z27" s="11">
        <f>'5f. Prevalence 6'!Y5</f>
        <v>0</v>
      </c>
      <c r="AA27" s="11">
        <f>'5f. Prevalence 6'!Z5</f>
        <v>0</v>
      </c>
      <c r="AB27" s="11">
        <f>'5f. Prevalence 6'!AA5</f>
        <v>0</v>
      </c>
      <c r="AC27" s="11">
        <f>'5f. Prevalence 6'!AB5</f>
        <v>0</v>
      </c>
      <c r="AD27" s="11">
        <f>'5f. Prevalence 6'!AC5</f>
        <v>0</v>
      </c>
      <c r="AE27" s="11">
        <f>'5f. Prevalence 6'!AD5</f>
        <v>0</v>
      </c>
      <c r="AF27" s="11">
        <f>'5f. Prevalence 6'!AE5</f>
        <v>0</v>
      </c>
      <c r="AG27" s="11">
        <f>'5f. Prevalence 6'!AF5</f>
        <v>0</v>
      </c>
      <c r="AH27" s="11">
        <f>'5f. Prevalence 6'!AG5</f>
        <v>0</v>
      </c>
      <c r="AI27" s="11">
        <f>'5f. Prevalence 6'!AH5</f>
        <v>0</v>
      </c>
      <c r="AJ27" s="11">
        <f>'5f. Prevalence 6'!AI5</f>
        <v>0</v>
      </c>
      <c r="AK27" s="11">
        <f>'5f. Prevalence 6'!AJ5</f>
        <v>0</v>
      </c>
      <c r="AL27" s="11">
        <f>'5f. Prevalence 6'!AK5</f>
        <v>0</v>
      </c>
      <c r="AM27" s="11">
        <f>'5f. Prevalence 6'!AL5</f>
        <v>0</v>
      </c>
      <c r="AN27" s="11">
        <f>'5f. Prevalence 6'!AM5</f>
        <v>0</v>
      </c>
      <c r="AO27" s="11">
        <f>'5f. Prevalence 6'!AN5</f>
        <v>0</v>
      </c>
      <c r="AP27" s="11">
        <f>'5f. Prevalence 6'!AO5</f>
        <v>0</v>
      </c>
      <c r="AQ27" s="11">
        <f>'5f. Prevalence 6'!AP5</f>
        <v>0</v>
      </c>
      <c r="AR27" s="11">
        <f>'5f. Prevalence 6'!AQ5</f>
        <v>0</v>
      </c>
      <c r="AS27" s="11">
        <f>'5f. Prevalence 6'!AR5</f>
        <v>0</v>
      </c>
      <c r="AT27" s="11">
        <f>'5f. Prevalence 6'!AS5</f>
        <v>0</v>
      </c>
      <c r="AU27" s="11">
        <f>'5f. Prevalence 6'!AT5</f>
        <v>0</v>
      </c>
      <c r="AV27" s="11">
        <f>'5f. Prevalence 6'!AU5</f>
        <v>0</v>
      </c>
      <c r="AW27" s="11">
        <f>'5f. Prevalence 6'!AV5</f>
        <v>0</v>
      </c>
      <c r="AX27" s="11">
        <f>'5f. Prevalence 6'!AW5</f>
        <v>0</v>
      </c>
      <c r="AY27" s="11">
        <f>'5f. Prevalence 6'!AX5</f>
        <v>0</v>
      </c>
      <c r="AZ27" s="11">
        <f>'5f. Prevalence 6'!AY5</f>
        <v>0</v>
      </c>
      <c r="BA27" s="11">
        <f>'5f. Prevalence 6'!AZ5</f>
        <v>3.8938596636485913E-3</v>
      </c>
      <c r="BB27" s="11">
        <f>'5f. Prevalence 6'!BA5</f>
        <v>7.7877193272971827E-3</v>
      </c>
      <c r="BC27" s="11">
        <f>'5f. Prevalence 6'!BB5</f>
        <v>1.1681578990945775E-2</v>
      </c>
      <c r="BD27" s="11">
        <f>'5f. Prevalence 6'!BC5</f>
        <v>1.5575438654594365E-2</v>
      </c>
      <c r="BE27" s="11">
        <f>'5f. Prevalence 6'!BD5</f>
        <v>1.9469298318242956E-2</v>
      </c>
      <c r="BF27" s="11">
        <f>'5f. Prevalence 6'!BE5</f>
        <v>2.336315798189155E-2</v>
      </c>
      <c r="BG27" s="11">
        <f>'5f. Prevalence 6'!BF5</f>
        <v>2.725701764554014E-2</v>
      </c>
      <c r="BH27" s="11">
        <f>'5f. Prevalence 6'!BG5</f>
        <v>3.1150877309188731E-2</v>
      </c>
      <c r="BI27" s="11">
        <f>'5f. Prevalence 6'!BH5</f>
        <v>3.5044736972837325E-2</v>
      </c>
      <c r="BJ27" s="11">
        <f>'5f. Prevalence 6'!BI5</f>
        <v>3.8938596636485912E-2</v>
      </c>
      <c r="BK27" s="35">
        <f>'5f. Prevalence 6'!BJ5</f>
        <v>4.2832456300134505E-2</v>
      </c>
      <c r="BL27" s="35">
        <f>'5f. Prevalence 6'!BK5</f>
        <v>4.2832456300134505E-2</v>
      </c>
      <c r="BM27" s="35">
        <f>'5f. Prevalence 6'!BL5</f>
        <v>4.2832456300134505E-2</v>
      </c>
      <c r="BN27" s="35">
        <f>'5f. Prevalence 6'!BM5</f>
        <v>4.2832456300134505E-2</v>
      </c>
      <c r="BO27" s="35">
        <f>'5f. Prevalence 6'!BN5</f>
        <v>4.2832456300134505E-2</v>
      </c>
      <c r="BP27" s="35">
        <f>'5f. Prevalence 6'!BO5</f>
        <v>4.2832456300134505E-2</v>
      </c>
      <c r="BQ27" s="35">
        <f>'5f. Prevalence 6'!BP5</f>
        <v>4.2832456300134505E-2</v>
      </c>
      <c r="BR27" s="35">
        <f>'5f. Prevalence 6'!BQ5</f>
        <v>4.2832456300134505E-2</v>
      </c>
      <c r="BS27" s="35">
        <f>'5f. Prevalence 6'!BR5</f>
        <v>4.2832456300134505E-2</v>
      </c>
      <c r="BT27" s="35">
        <f>'5f. Prevalence 6'!BS5</f>
        <v>4.2832456300134505E-2</v>
      </c>
      <c r="BU27" s="35">
        <f>'5f. Prevalence 6'!BT5</f>
        <v>4.2832456300134505E-2</v>
      </c>
      <c r="BV27" s="35">
        <f>'5f. Prevalence 6'!BU5</f>
        <v>4.2832456300134505E-2</v>
      </c>
      <c r="BW27" s="35">
        <f>'5f. Prevalence 6'!BV5</f>
        <v>4.2832456300134505E-2</v>
      </c>
      <c r="BX27" s="35">
        <f>'5f. Prevalence 6'!BW5</f>
        <v>4.2832456300134505E-2</v>
      </c>
      <c r="BY27" s="35">
        <f>'5f. Prevalence 6'!BX5</f>
        <v>4.2832456300134505E-2</v>
      </c>
      <c r="BZ27" s="35">
        <f>'5f. Prevalence 6'!BY5</f>
        <v>0.12271762303820061</v>
      </c>
      <c r="CA27" s="35">
        <f>'5f. Prevalence 6'!BZ5</f>
        <v>0.12271762303820061</v>
      </c>
      <c r="CB27" s="35">
        <f>'5f. Prevalence 6'!CA5</f>
        <v>0.12271762303820061</v>
      </c>
      <c r="CC27" s="35">
        <f>'5f. Prevalence 6'!CB5</f>
        <v>0.12271762303820061</v>
      </c>
      <c r="CD27" s="35">
        <f>'5f. Prevalence 6'!CC5</f>
        <v>0.12271762303820061</v>
      </c>
      <c r="CE27" s="35">
        <f>'5f. Prevalence 6'!CD5</f>
        <v>0.12271762303820061</v>
      </c>
      <c r="CF27" s="35">
        <f>'5f. Prevalence 6'!CE5</f>
        <v>0.12271762303820061</v>
      </c>
      <c r="CG27" s="35">
        <f>'5f. Prevalence 6'!CF5</f>
        <v>0.12271762303820061</v>
      </c>
      <c r="CH27" s="35">
        <f>'5f. Prevalence 6'!CG5</f>
        <v>0.12271762303820061</v>
      </c>
      <c r="CI27" s="35">
        <f>'5f. Prevalence 6'!CH5</f>
        <v>0.12271762303820061</v>
      </c>
      <c r="CJ27" s="35">
        <f>'5f. Prevalence 6'!CI5</f>
        <v>0.26823530786895977</v>
      </c>
      <c r="CK27" s="35">
        <f t="shared" si="1"/>
        <v>0.26823530786895977</v>
      </c>
      <c r="CL27" s="35">
        <f t="shared" si="1"/>
        <v>0.26823530786895977</v>
      </c>
      <c r="CM27" s="35">
        <f t="shared" si="1"/>
        <v>0.26823530786895977</v>
      </c>
      <c r="CN27" s="35">
        <f t="shared" si="1"/>
        <v>0.26823530786895977</v>
      </c>
      <c r="CO27" s="35">
        <f t="shared" si="1"/>
        <v>0.26823530786895977</v>
      </c>
      <c r="CP27" s="35">
        <f t="shared" si="1"/>
        <v>0.26823530786895977</v>
      </c>
      <c r="CQ27" s="35">
        <f t="shared" si="1"/>
        <v>0.26823530786895977</v>
      </c>
      <c r="CR27" s="35">
        <f t="shared" si="1"/>
        <v>0.26823530786895977</v>
      </c>
      <c r="CS27" s="35">
        <f t="shared" si="1"/>
        <v>0.26823530786895977</v>
      </c>
      <c r="CT27" s="35">
        <f t="shared" si="1"/>
        <v>0.26823530786895977</v>
      </c>
      <c r="CU27" s="35">
        <f t="shared" si="1"/>
        <v>0.26823530786895977</v>
      </c>
      <c r="CV27" s="35">
        <f t="shared" si="1"/>
        <v>0.26823530786895977</v>
      </c>
      <c r="CW27" s="35">
        <f t="shared" si="1"/>
        <v>0.26823530786895977</v>
      </c>
      <c r="CX27" s="35">
        <f t="shared" si="1"/>
        <v>0.26823530786895977</v>
      </c>
      <c r="CY27" s="35">
        <f t="shared" si="1"/>
        <v>0.26823530786895977</v>
      </c>
    </row>
    <row r="28" spans="1:103" x14ac:dyDescent="0.45">
      <c r="A28" s="11" t="s">
        <v>157</v>
      </c>
      <c r="B28" s="11">
        <v>0</v>
      </c>
      <c r="C28" s="11">
        <f>'5f. Prevalence 6'!B6</f>
        <v>0</v>
      </c>
      <c r="D28" s="11">
        <f>'5f. Prevalence 6'!C6</f>
        <v>0</v>
      </c>
      <c r="E28" s="11">
        <f>'5f. Prevalence 6'!D6</f>
        <v>0</v>
      </c>
      <c r="F28" s="11">
        <f>'5f. Prevalence 6'!E6</f>
        <v>0</v>
      </c>
      <c r="G28" s="11">
        <f>'5f. Prevalence 6'!F6</f>
        <v>0</v>
      </c>
      <c r="H28" s="11">
        <f>'5f. Prevalence 6'!G6</f>
        <v>0</v>
      </c>
      <c r="I28" s="11">
        <f>'5f. Prevalence 6'!H6</f>
        <v>0</v>
      </c>
      <c r="J28" s="11">
        <f>'5f. Prevalence 6'!I6</f>
        <v>0</v>
      </c>
      <c r="K28" s="11">
        <f>'5f. Prevalence 6'!J6</f>
        <v>0</v>
      </c>
      <c r="L28" s="11">
        <f>'5f. Prevalence 6'!K6</f>
        <v>0</v>
      </c>
      <c r="M28" s="11">
        <f>'5f. Prevalence 6'!L6</f>
        <v>0</v>
      </c>
      <c r="N28" s="11">
        <f>'5f. Prevalence 6'!M6</f>
        <v>0</v>
      </c>
      <c r="O28" s="11">
        <f>'5f. Prevalence 6'!N6</f>
        <v>0</v>
      </c>
      <c r="P28" s="11">
        <f>'5f. Prevalence 6'!O6</f>
        <v>0</v>
      </c>
      <c r="Q28" s="11">
        <f>'5f. Prevalence 6'!P6</f>
        <v>0</v>
      </c>
      <c r="R28" s="11">
        <f>'5f. Prevalence 6'!Q6</f>
        <v>0</v>
      </c>
      <c r="S28" s="11">
        <f>'5f. Prevalence 6'!R6</f>
        <v>0</v>
      </c>
      <c r="T28" s="11">
        <f>'5f. Prevalence 6'!S6</f>
        <v>0</v>
      </c>
      <c r="U28" s="11">
        <f>'5f. Prevalence 6'!T6</f>
        <v>0</v>
      </c>
      <c r="V28" s="11">
        <f>'5f. Prevalence 6'!U6</f>
        <v>0</v>
      </c>
      <c r="W28" s="11">
        <f>'5f. Prevalence 6'!V6</f>
        <v>0</v>
      </c>
      <c r="X28" s="11">
        <f>'5f. Prevalence 6'!W6</f>
        <v>0</v>
      </c>
      <c r="Y28" s="11">
        <f>'5f. Prevalence 6'!X6</f>
        <v>0</v>
      </c>
      <c r="Z28" s="11">
        <f>'5f. Prevalence 6'!Y6</f>
        <v>0</v>
      </c>
      <c r="AA28" s="11">
        <f>'5f. Prevalence 6'!Z6</f>
        <v>0</v>
      </c>
      <c r="AB28" s="11">
        <f>'5f. Prevalence 6'!AA6</f>
        <v>0</v>
      </c>
      <c r="AC28" s="11">
        <f>'5f. Prevalence 6'!AB6</f>
        <v>0</v>
      </c>
      <c r="AD28" s="11">
        <f>'5f. Prevalence 6'!AC6</f>
        <v>0</v>
      </c>
      <c r="AE28" s="11">
        <f>'5f. Prevalence 6'!AD6</f>
        <v>0</v>
      </c>
      <c r="AF28" s="11">
        <f>'5f. Prevalence 6'!AE6</f>
        <v>0</v>
      </c>
      <c r="AG28" s="11">
        <f>'5f. Prevalence 6'!AF6</f>
        <v>0</v>
      </c>
      <c r="AH28" s="11">
        <f>'5f. Prevalence 6'!AG6</f>
        <v>0</v>
      </c>
      <c r="AI28" s="11">
        <f>'5f. Prevalence 6'!AH6</f>
        <v>0</v>
      </c>
      <c r="AJ28" s="11">
        <f>'5f. Prevalence 6'!AI6</f>
        <v>0</v>
      </c>
      <c r="AK28" s="11">
        <f>'5f. Prevalence 6'!AJ6</f>
        <v>0</v>
      </c>
      <c r="AL28" s="11">
        <f>'5f. Prevalence 6'!AK6</f>
        <v>0</v>
      </c>
      <c r="AM28" s="11">
        <f>'5f. Prevalence 6'!AL6</f>
        <v>0</v>
      </c>
      <c r="AN28" s="11">
        <f>'5f. Prevalence 6'!AM6</f>
        <v>0</v>
      </c>
      <c r="AO28" s="11">
        <f>'5f. Prevalence 6'!AN6</f>
        <v>0</v>
      </c>
      <c r="AP28" s="11">
        <f>'5f. Prevalence 6'!AO6</f>
        <v>0</v>
      </c>
      <c r="AQ28" s="11">
        <f>'5f. Prevalence 6'!AP6</f>
        <v>0</v>
      </c>
      <c r="AR28" s="11">
        <f>'5f. Prevalence 6'!AQ6</f>
        <v>0</v>
      </c>
      <c r="AS28" s="11">
        <f>'5f. Prevalence 6'!AR6</f>
        <v>0</v>
      </c>
      <c r="AT28" s="11">
        <f>'5f. Prevalence 6'!AS6</f>
        <v>0</v>
      </c>
      <c r="AU28" s="11">
        <f>'5f. Prevalence 6'!AT6</f>
        <v>0</v>
      </c>
      <c r="AV28" s="11">
        <f>'5f. Prevalence 6'!AU6</f>
        <v>0</v>
      </c>
      <c r="AW28" s="11">
        <f>'5f. Prevalence 6'!AV6</f>
        <v>0</v>
      </c>
      <c r="AX28" s="11">
        <f>'5f. Prevalence 6'!AW6</f>
        <v>0</v>
      </c>
      <c r="AY28" s="11">
        <f>'5f. Prevalence 6'!AX6</f>
        <v>0</v>
      </c>
      <c r="AZ28" s="11">
        <f>'5f. Prevalence 6'!AY6</f>
        <v>0</v>
      </c>
      <c r="BA28" s="11">
        <f>'5f. Prevalence 6'!AZ6</f>
        <v>3.6997611724628563E-3</v>
      </c>
      <c r="BB28" s="11">
        <f>'5f. Prevalence 6'!BA6</f>
        <v>7.3995223449257125E-3</v>
      </c>
      <c r="BC28" s="11">
        <f>'5f. Prevalence 6'!BB6</f>
        <v>1.1099283517388569E-2</v>
      </c>
      <c r="BD28" s="11">
        <f>'5f. Prevalence 6'!BC6</f>
        <v>1.4799044689851425E-2</v>
      </c>
      <c r="BE28" s="11">
        <f>'5f. Prevalence 6'!BD6</f>
        <v>1.8498805862314279E-2</v>
      </c>
      <c r="BF28" s="11">
        <f>'5f. Prevalence 6'!BE6</f>
        <v>2.2198567034777138E-2</v>
      </c>
      <c r="BG28" s="11">
        <f>'5f. Prevalence 6'!BF6</f>
        <v>2.5898328207239994E-2</v>
      </c>
      <c r="BH28" s="11">
        <f>'5f. Prevalence 6'!BG6</f>
        <v>2.959808937970285E-2</v>
      </c>
      <c r="BI28" s="11">
        <f>'5f. Prevalence 6'!BH6</f>
        <v>3.3297850552165706E-2</v>
      </c>
      <c r="BJ28" s="11">
        <f>'5f. Prevalence 6'!BI6</f>
        <v>3.6997611724628558E-2</v>
      </c>
      <c r="BK28" s="35">
        <f>'5f. Prevalence 6'!BJ6</f>
        <v>4.0697372897091418E-2</v>
      </c>
      <c r="BL28" s="35">
        <f>'5f. Prevalence 6'!BK6</f>
        <v>4.0697372897091418E-2</v>
      </c>
      <c r="BM28" s="35">
        <f>'5f. Prevalence 6'!BL6</f>
        <v>4.0697372897091418E-2</v>
      </c>
      <c r="BN28" s="35">
        <f>'5f. Prevalence 6'!BM6</f>
        <v>4.0697372897091418E-2</v>
      </c>
      <c r="BO28" s="35">
        <f>'5f. Prevalence 6'!BN6</f>
        <v>4.0697372897091418E-2</v>
      </c>
      <c r="BP28" s="35">
        <f>'5f. Prevalence 6'!BO6</f>
        <v>4.0697372897091418E-2</v>
      </c>
      <c r="BQ28" s="35">
        <f>'5f. Prevalence 6'!BP6</f>
        <v>4.0697372897091418E-2</v>
      </c>
      <c r="BR28" s="35">
        <f>'5f. Prevalence 6'!BQ6</f>
        <v>4.0697372897091418E-2</v>
      </c>
      <c r="BS28" s="35">
        <f>'5f. Prevalence 6'!BR6</f>
        <v>4.0697372897091418E-2</v>
      </c>
      <c r="BT28" s="35">
        <f>'5f. Prevalence 6'!BS6</f>
        <v>4.0697372897091418E-2</v>
      </c>
      <c r="BU28" s="35">
        <f>'5f. Prevalence 6'!BT6</f>
        <v>4.0697372897091418E-2</v>
      </c>
      <c r="BV28" s="35">
        <f>'5f. Prevalence 6'!BU6</f>
        <v>4.0697372897091418E-2</v>
      </c>
      <c r="BW28" s="35">
        <f>'5f. Prevalence 6'!BV6</f>
        <v>4.0697372897091418E-2</v>
      </c>
      <c r="BX28" s="35">
        <f>'5f. Prevalence 6'!BW6</f>
        <v>4.0697372897091418E-2</v>
      </c>
      <c r="BY28" s="35">
        <f>'5f. Prevalence 6'!BX6</f>
        <v>4.0697372897091418E-2</v>
      </c>
      <c r="BZ28" s="35">
        <f>'5f. Prevalence 6'!BY6</f>
        <v>0.12601982825736732</v>
      </c>
      <c r="CA28" s="35">
        <f>'5f. Prevalence 6'!BZ6</f>
        <v>0.12601982825736732</v>
      </c>
      <c r="CB28" s="35">
        <f>'5f. Prevalence 6'!CA6</f>
        <v>0.12601982825736732</v>
      </c>
      <c r="CC28" s="35">
        <f>'5f. Prevalence 6'!CB6</f>
        <v>0.12601982825736732</v>
      </c>
      <c r="CD28" s="35">
        <f>'5f. Prevalence 6'!CC6</f>
        <v>0.12601982825736732</v>
      </c>
      <c r="CE28" s="35">
        <f>'5f. Prevalence 6'!CD6</f>
        <v>0.12601982825736732</v>
      </c>
      <c r="CF28" s="35">
        <f>'5f. Prevalence 6'!CE6</f>
        <v>0.12601982825736732</v>
      </c>
      <c r="CG28" s="35">
        <f>'5f. Prevalence 6'!CF6</f>
        <v>0.12601982825736732</v>
      </c>
      <c r="CH28" s="35">
        <f>'5f. Prevalence 6'!CG6</f>
        <v>0.12601982825736732</v>
      </c>
      <c r="CI28" s="35">
        <f>'5f. Prevalence 6'!CH6</f>
        <v>0.12601982825736732</v>
      </c>
      <c r="CJ28" s="35">
        <f>'5f. Prevalence 6'!CI6</f>
        <v>0.28611670846711651</v>
      </c>
      <c r="CK28" s="35">
        <f t="shared" si="1"/>
        <v>0.28611670846711651</v>
      </c>
      <c r="CL28" s="35">
        <f t="shared" si="1"/>
        <v>0.28611670846711651</v>
      </c>
      <c r="CM28" s="35">
        <f t="shared" si="1"/>
        <v>0.28611670846711651</v>
      </c>
      <c r="CN28" s="35">
        <f t="shared" si="1"/>
        <v>0.28611670846711651</v>
      </c>
      <c r="CO28" s="35">
        <f t="shared" si="1"/>
        <v>0.28611670846711651</v>
      </c>
      <c r="CP28" s="35">
        <f t="shared" si="1"/>
        <v>0.28611670846711651</v>
      </c>
      <c r="CQ28" s="35">
        <f t="shared" si="1"/>
        <v>0.28611670846711651</v>
      </c>
      <c r="CR28" s="35">
        <f t="shared" si="1"/>
        <v>0.28611670846711651</v>
      </c>
      <c r="CS28" s="35">
        <f t="shared" si="1"/>
        <v>0.28611670846711651</v>
      </c>
      <c r="CT28" s="35">
        <f t="shared" si="1"/>
        <v>0.28611670846711651</v>
      </c>
      <c r="CU28" s="35">
        <f t="shared" si="1"/>
        <v>0.28611670846711651</v>
      </c>
      <c r="CV28" s="35">
        <f t="shared" si="1"/>
        <v>0.28611670846711651</v>
      </c>
      <c r="CW28" s="35">
        <f t="shared" si="1"/>
        <v>0.28611670846711651</v>
      </c>
      <c r="CX28" s="35">
        <f t="shared" si="1"/>
        <v>0.28611670846711651</v>
      </c>
      <c r="CY28" s="35">
        <f t="shared" si="1"/>
        <v>0.28611670846711651</v>
      </c>
    </row>
    <row r="29" spans="1:103" x14ac:dyDescent="0.45">
      <c r="A29" s="11" t="s">
        <v>158</v>
      </c>
      <c r="B29" s="11">
        <v>0</v>
      </c>
      <c r="C29" s="11">
        <f>'5f. Prevalence 6'!B7</f>
        <v>0</v>
      </c>
      <c r="D29" s="11">
        <f>'5f. Prevalence 6'!C7</f>
        <v>0</v>
      </c>
      <c r="E29" s="11">
        <f>'5f. Prevalence 6'!D7</f>
        <v>0</v>
      </c>
      <c r="F29" s="11">
        <f>'5f. Prevalence 6'!E7</f>
        <v>0</v>
      </c>
      <c r="G29" s="11">
        <f>'5f. Prevalence 6'!F7</f>
        <v>0</v>
      </c>
      <c r="H29" s="11">
        <f>'5f. Prevalence 6'!G7</f>
        <v>0</v>
      </c>
      <c r="I29" s="11">
        <f>'5f. Prevalence 6'!H7</f>
        <v>0</v>
      </c>
      <c r="J29" s="11">
        <f>'5f. Prevalence 6'!I7</f>
        <v>0</v>
      </c>
      <c r="K29" s="11">
        <f>'5f. Prevalence 6'!J7</f>
        <v>0</v>
      </c>
      <c r="L29" s="11">
        <f>'5f. Prevalence 6'!K7</f>
        <v>0</v>
      </c>
      <c r="M29" s="11">
        <f>'5f. Prevalence 6'!L7</f>
        <v>0</v>
      </c>
      <c r="N29" s="11">
        <f>'5f. Prevalence 6'!M7</f>
        <v>0</v>
      </c>
      <c r="O29" s="11">
        <f>'5f. Prevalence 6'!N7</f>
        <v>0</v>
      </c>
      <c r="P29" s="11">
        <f>'5f. Prevalence 6'!O7</f>
        <v>0</v>
      </c>
      <c r="Q29" s="11">
        <f>'5f. Prevalence 6'!P7</f>
        <v>0</v>
      </c>
      <c r="R29" s="11">
        <f>'5f. Prevalence 6'!Q7</f>
        <v>0</v>
      </c>
      <c r="S29" s="11">
        <f>'5f. Prevalence 6'!R7</f>
        <v>0</v>
      </c>
      <c r="T29" s="11">
        <f>'5f. Prevalence 6'!S7</f>
        <v>0</v>
      </c>
      <c r="U29" s="11">
        <f>'5f. Prevalence 6'!T7</f>
        <v>0</v>
      </c>
      <c r="V29" s="11">
        <f>'5f. Prevalence 6'!U7</f>
        <v>0</v>
      </c>
      <c r="W29" s="11">
        <f>'5f. Prevalence 6'!V7</f>
        <v>0</v>
      </c>
      <c r="X29" s="11">
        <f>'5f. Prevalence 6'!W7</f>
        <v>0</v>
      </c>
      <c r="Y29" s="11">
        <f>'5f. Prevalence 6'!X7</f>
        <v>0</v>
      </c>
      <c r="Z29" s="11">
        <f>'5f. Prevalence 6'!Y7</f>
        <v>0</v>
      </c>
      <c r="AA29" s="11">
        <f>'5f. Prevalence 6'!Z7</f>
        <v>0</v>
      </c>
      <c r="AB29" s="11">
        <f>'5f. Prevalence 6'!AA7</f>
        <v>0</v>
      </c>
      <c r="AC29" s="11">
        <f>'5f. Prevalence 6'!AB7</f>
        <v>0</v>
      </c>
      <c r="AD29" s="11">
        <f>'5f. Prevalence 6'!AC7</f>
        <v>0</v>
      </c>
      <c r="AE29" s="11">
        <f>'5f. Prevalence 6'!AD7</f>
        <v>0</v>
      </c>
      <c r="AF29" s="11">
        <f>'5f. Prevalence 6'!AE7</f>
        <v>0</v>
      </c>
      <c r="AG29" s="11">
        <f>'5f. Prevalence 6'!AF7</f>
        <v>0</v>
      </c>
      <c r="AH29" s="11">
        <f>'5f. Prevalence 6'!AG7</f>
        <v>0</v>
      </c>
      <c r="AI29" s="11">
        <f>'5f. Prevalence 6'!AH7</f>
        <v>0</v>
      </c>
      <c r="AJ29" s="11">
        <f>'5f. Prevalence 6'!AI7</f>
        <v>0</v>
      </c>
      <c r="AK29" s="11">
        <f>'5f. Prevalence 6'!AJ7</f>
        <v>0</v>
      </c>
      <c r="AL29" s="11">
        <f>'5f. Prevalence 6'!AK7</f>
        <v>0</v>
      </c>
      <c r="AM29" s="11">
        <f>'5f. Prevalence 6'!AL7</f>
        <v>0</v>
      </c>
      <c r="AN29" s="11">
        <f>'5f. Prevalence 6'!AM7</f>
        <v>0</v>
      </c>
      <c r="AO29" s="11">
        <f>'5f. Prevalence 6'!AN7</f>
        <v>0</v>
      </c>
      <c r="AP29" s="11">
        <f>'5f. Prevalence 6'!AO7</f>
        <v>0</v>
      </c>
      <c r="AQ29" s="11">
        <f>'5f. Prevalence 6'!AP7</f>
        <v>0</v>
      </c>
      <c r="AR29" s="11">
        <f>'5f. Prevalence 6'!AQ7</f>
        <v>0</v>
      </c>
      <c r="AS29" s="11">
        <f>'5f. Prevalence 6'!AR7</f>
        <v>0</v>
      </c>
      <c r="AT29" s="11">
        <f>'5f. Prevalence 6'!AS7</f>
        <v>0</v>
      </c>
      <c r="AU29" s="11">
        <f>'5f. Prevalence 6'!AT7</f>
        <v>0</v>
      </c>
      <c r="AV29" s="11">
        <f>'5f. Prevalence 6'!AU7</f>
        <v>0</v>
      </c>
      <c r="AW29" s="11">
        <f>'5f. Prevalence 6'!AV7</f>
        <v>0</v>
      </c>
      <c r="AX29" s="11">
        <f>'5f. Prevalence 6'!AW7</f>
        <v>0</v>
      </c>
      <c r="AY29" s="11">
        <f>'5f. Prevalence 6'!AX7</f>
        <v>0</v>
      </c>
      <c r="AZ29" s="11">
        <f>'5f. Prevalence 6'!AY7</f>
        <v>0</v>
      </c>
      <c r="BA29" s="11">
        <f>'5f. Prevalence 6'!AZ7</f>
        <v>3.8704804615981442E-3</v>
      </c>
      <c r="BB29" s="11">
        <f>'5f. Prevalence 6'!BA7</f>
        <v>7.7409609231962884E-3</v>
      </c>
      <c r="BC29" s="11">
        <f>'5f. Prevalence 6'!BB7</f>
        <v>1.1611441384794434E-2</v>
      </c>
      <c r="BD29" s="11">
        <f>'5f. Prevalence 6'!BC7</f>
        <v>1.5481921846392577E-2</v>
      </c>
      <c r="BE29" s="11">
        <f>'5f. Prevalence 6'!BD7</f>
        <v>1.9352402307990721E-2</v>
      </c>
      <c r="BF29" s="11">
        <f>'5f. Prevalence 6'!BE7</f>
        <v>2.3222882769588869E-2</v>
      </c>
      <c r="BG29" s="11">
        <f>'5f. Prevalence 6'!BF7</f>
        <v>2.7093363231187009E-2</v>
      </c>
      <c r="BH29" s="11">
        <f>'5f. Prevalence 6'!BG7</f>
        <v>3.0963843692785153E-2</v>
      </c>
      <c r="BI29" s="11">
        <f>'5f. Prevalence 6'!BH7</f>
        <v>3.4834324154383298E-2</v>
      </c>
      <c r="BJ29" s="11">
        <f>'5f. Prevalence 6'!BI7</f>
        <v>3.8704804615981442E-2</v>
      </c>
      <c r="BK29" s="35">
        <f>'5f. Prevalence 6'!BJ7</f>
        <v>4.2575285077579586E-2</v>
      </c>
      <c r="BL29" s="35">
        <f>'5f. Prevalence 6'!BK7</f>
        <v>4.2575285077579586E-2</v>
      </c>
      <c r="BM29" s="35">
        <f>'5f. Prevalence 6'!BL7</f>
        <v>4.2575285077579586E-2</v>
      </c>
      <c r="BN29" s="35">
        <f>'5f. Prevalence 6'!BM7</f>
        <v>4.2575285077579586E-2</v>
      </c>
      <c r="BO29" s="35">
        <f>'5f. Prevalence 6'!BN7</f>
        <v>4.2575285077579586E-2</v>
      </c>
      <c r="BP29" s="35">
        <f>'5f. Prevalence 6'!BO7</f>
        <v>4.2575285077579586E-2</v>
      </c>
      <c r="BQ29" s="35">
        <f>'5f. Prevalence 6'!BP7</f>
        <v>4.2575285077579586E-2</v>
      </c>
      <c r="BR29" s="35">
        <f>'5f. Prevalence 6'!BQ7</f>
        <v>4.2575285077579586E-2</v>
      </c>
      <c r="BS29" s="35">
        <f>'5f. Prevalence 6'!BR7</f>
        <v>4.2575285077579586E-2</v>
      </c>
      <c r="BT29" s="35">
        <f>'5f. Prevalence 6'!BS7</f>
        <v>4.2575285077579586E-2</v>
      </c>
      <c r="BU29" s="35">
        <f>'5f. Prevalence 6'!BT7</f>
        <v>4.2575285077579586E-2</v>
      </c>
      <c r="BV29" s="35">
        <f>'5f. Prevalence 6'!BU7</f>
        <v>4.2575285077579586E-2</v>
      </c>
      <c r="BW29" s="35">
        <f>'5f. Prevalence 6'!BV7</f>
        <v>4.2575285077579586E-2</v>
      </c>
      <c r="BX29" s="35">
        <f>'5f. Prevalence 6'!BW7</f>
        <v>4.2575285077579586E-2</v>
      </c>
      <c r="BY29" s="35">
        <f>'5f. Prevalence 6'!BX7</f>
        <v>4.2575285077579586E-2</v>
      </c>
      <c r="BZ29" s="35">
        <f>'5f. Prevalence 6'!BY7</f>
        <v>0.12541194933617719</v>
      </c>
      <c r="CA29" s="35">
        <f>'5f. Prevalence 6'!BZ7</f>
        <v>0.12541194933617719</v>
      </c>
      <c r="CB29" s="35">
        <f>'5f. Prevalence 6'!CA7</f>
        <v>0.12541194933617719</v>
      </c>
      <c r="CC29" s="35">
        <f>'5f. Prevalence 6'!CB7</f>
        <v>0.12541194933617719</v>
      </c>
      <c r="CD29" s="35">
        <f>'5f. Prevalence 6'!CC7</f>
        <v>0.12541194933617719</v>
      </c>
      <c r="CE29" s="35">
        <f>'5f. Prevalence 6'!CD7</f>
        <v>0.12541194933617719</v>
      </c>
      <c r="CF29" s="35">
        <f>'5f. Prevalence 6'!CE7</f>
        <v>0.12541194933617719</v>
      </c>
      <c r="CG29" s="35">
        <f>'5f. Prevalence 6'!CF7</f>
        <v>0.12541194933617719</v>
      </c>
      <c r="CH29" s="35">
        <f>'5f. Prevalence 6'!CG7</f>
        <v>0.12541194933617719</v>
      </c>
      <c r="CI29" s="35">
        <f>'5f. Prevalence 6'!CH7</f>
        <v>0.12541194933617719</v>
      </c>
      <c r="CJ29" s="35">
        <f>'5f. Prevalence 6'!CI7</f>
        <v>0.27730360597846831</v>
      </c>
      <c r="CK29" s="35">
        <f t="shared" si="1"/>
        <v>0.27730360597846831</v>
      </c>
      <c r="CL29" s="35">
        <f t="shared" si="1"/>
        <v>0.27730360597846831</v>
      </c>
      <c r="CM29" s="35">
        <f t="shared" si="1"/>
        <v>0.27730360597846831</v>
      </c>
      <c r="CN29" s="35">
        <f t="shared" si="1"/>
        <v>0.27730360597846831</v>
      </c>
      <c r="CO29" s="35">
        <f t="shared" si="1"/>
        <v>0.27730360597846831</v>
      </c>
      <c r="CP29" s="35">
        <f t="shared" si="1"/>
        <v>0.27730360597846831</v>
      </c>
      <c r="CQ29" s="35">
        <f t="shared" si="1"/>
        <v>0.27730360597846831</v>
      </c>
      <c r="CR29" s="35">
        <f t="shared" si="1"/>
        <v>0.27730360597846831</v>
      </c>
      <c r="CS29" s="35">
        <f t="shared" si="1"/>
        <v>0.27730360597846831</v>
      </c>
      <c r="CT29" s="35">
        <f t="shared" si="1"/>
        <v>0.27730360597846831</v>
      </c>
      <c r="CU29" s="35">
        <f t="shared" si="1"/>
        <v>0.27730360597846831</v>
      </c>
      <c r="CV29" s="35">
        <f t="shared" si="1"/>
        <v>0.27730360597846831</v>
      </c>
      <c r="CW29" s="35">
        <f t="shared" si="1"/>
        <v>0.27730360597846831</v>
      </c>
      <c r="CX29" s="35">
        <f t="shared" si="1"/>
        <v>0.27730360597846831</v>
      </c>
      <c r="CY29" s="35">
        <f t="shared" si="1"/>
        <v>0.27730360597846831</v>
      </c>
    </row>
    <row r="30" spans="1:103" x14ac:dyDescent="0.45">
      <c r="A30" s="11" t="s">
        <v>159</v>
      </c>
      <c r="B30" s="11">
        <v>0</v>
      </c>
      <c r="C30" s="11">
        <f>'5f. Prevalence 6'!B8</f>
        <v>0</v>
      </c>
      <c r="D30" s="11">
        <f>'5f. Prevalence 6'!C8</f>
        <v>0</v>
      </c>
      <c r="E30" s="11">
        <f>'5f. Prevalence 6'!D8</f>
        <v>0</v>
      </c>
      <c r="F30" s="11">
        <f>'5f. Prevalence 6'!E8</f>
        <v>0</v>
      </c>
      <c r="G30" s="11">
        <f>'5f. Prevalence 6'!F8</f>
        <v>0</v>
      </c>
      <c r="H30" s="11">
        <f>'5f. Prevalence 6'!G8</f>
        <v>0</v>
      </c>
      <c r="I30" s="11">
        <f>'5f. Prevalence 6'!H8</f>
        <v>0</v>
      </c>
      <c r="J30" s="11">
        <f>'5f. Prevalence 6'!I8</f>
        <v>0</v>
      </c>
      <c r="K30" s="11">
        <f>'5f. Prevalence 6'!J8</f>
        <v>0</v>
      </c>
      <c r="L30" s="11">
        <f>'5f. Prevalence 6'!K8</f>
        <v>0</v>
      </c>
      <c r="M30" s="11">
        <f>'5f. Prevalence 6'!L8</f>
        <v>0</v>
      </c>
      <c r="N30" s="11">
        <f>'5f. Prevalence 6'!M8</f>
        <v>0</v>
      </c>
      <c r="O30" s="11">
        <f>'5f. Prevalence 6'!N8</f>
        <v>0</v>
      </c>
      <c r="P30" s="11">
        <f>'5f. Prevalence 6'!O8</f>
        <v>0</v>
      </c>
      <c r="Q30" s="11">
        <f>'5f. Prevalence 6'!P8</f>
        <v>0</v>
      </c>
      <c r="R30" s="11">
        <f>'5f. Prevalence 6'!Q8</f>
        <v>0</v>
      </c>
      <c r="S30" s="11">
        <f>'5f. Prevalence 6'!R8</f>
        <v>0</v>
      </c>
      <c r="T30" s="11">
        <f>'5f. Prevalence 6'!S8</f>
        <v>0</v>
      </c>
      <c r="U30" s="11">
        <f>'5f. Prevalence 6'!T8</f>
        <v>0</v>
      </c>
      <c r="V30" s="11">
        <f>'5f. Prevalence 6'!U8</f>
        <v>0</v>
      </c>
      <c r="W30" s="11">
        <f>'5f. Prevalence 6'!V8</f>
        <v>0</v>
      </c>
      <c r="X30" s="11">
        <f>'5f. Prevalence 6'!W8</f>
        <v>0</v>
      </c>
      <c r="Y30" s="11">
        <f>'5f. Prevalence 6'!X8</f>
        <v>0</v>
      </c>
      <c r="Z30" s="11">
        <f>'5f. Prevalence 6'!Y8</f>
        <v>0</v>
      </c>
      <c r="AA30" s="11">
        <f>'5f. Prevalence 6'!Z8</f>
        <v>0</v>
      </c>
      <c r="AB30" s="11">
        <f>'5f. Prevalence 6'!AA8</f>
        <v>0</v>
      </c>
      <c r="AC30" s="11">
        <f>'5f. Prevalence 6'!AB8</f>
        <v>0</v>
      </c>
      <c r="AD30" s="11">
        <f>'5f. Prevalence 6'!AC8</f>
        <v>0</v>
      </c>
      <c r="AE30" s="11">
        <f>'5f. Prevalence 6'!AD8</f>
        <v>0</v>
      </c>
      <c r="AF30" s="11">
        <f>'5f. Prevalence 6'!AE8</f>
        <v>0</v>
      </c>
      <c r="AG30" s="11">
        <f>'5f. Prevalence 6'!AF8</f>
        <v>0</v>
      </c>
      <c r="AH30" s="11">
        <f>'5f. Prevalence 6'!AG8</f>
        <v>0</v>
      </c>
      <c r="AI30" s="11">
        <f>'5f. Prevalence 6'!AH8</f>
        <v>0</v>
      </c>
      <c r="AJ30" s="11">
        <f>'5f. Prevalence 6'!AI8</f>
        <v>0</v>
      </c>
      <c r="AK30" s="11">
        <f>'5f. Prevalence 6'!AJ8</f>
        <v>0</v>
      </c>
      <c r="AL30" s="11">
        <f>'5f. Prevalence 6'!AK8</f>
        <v>0</v>
      </c>
      <c r="AM30" s="11">
        <f>'5f. Prevalence 6'!AL8</f>
        <v>0</v>
      </c>
      <c r="AN30" s="11">
        <f>'5f. Prevalence 6'!AM8</f>
        <v>0</v>
      </c>
      <c r="AO30" s="11">
        <f>'5f. Prevalence 6'!AN8</f>
        <v>0</v>
      </c>
      <c r="AP30" s="11">
        <f>'5f. Prevalence 6'!AO8</f>
        <v>0</v>
      </c>
      <c r="AQ30" s="11">
        <f>'5f. Prevalence 6'!AP8</f>
        <v>0</v>
      </c>
      <c r="AR30" s="11">
        <f>'5f. Prevalence 6'!AQ8</f>
        <v>0</v>
      </c>
      <c r="AS30" s="11">
        <f>'5f. Prevalence 6'!AR8</f>
        <v>0</v>
      </c>
      <c r="AT30" s="11">
        <f>'5f. Prevalence 6'!AS8</f>
        <v>0</v>
      </c>
      <c r="AU30" s="11">
        <f>'5f. Prevalence 6'!AT8</f>
        <v>0</v>
      </c>
      <c r="AV30" s="11">
        <f>'5f. Prevalence 6'!AU8</f>
        <v>0</v>
      </c>
      <c r="AW30" s="11">
        <f>'5f. Prevalence 6'!AV8</f>
        <v>0</v>
      </c>
      <c r="AX30" s="11">
        <f>'5f. Prevalence 6'!AW8</f>
        <v>0</v>
      </c>
      <c r="AY30" s="11">
        <f>'5f. Prevalence 6'!AX8</f>
        <v>0</v>
      </c>
      <c r="AZ30" s="11">
        <f>'5f. Prevalence 6'!AY8</f>
        <v>0</v>
      </c>
      <c r="BA30" s="11">
        <f>'5f. Prevalence 6'!AZ8</f>
        <v>3.8587008600288086E-3</v>
      </c>
      <c r="BB30" s="11">
        <f>'5f. Prevalence 6'!BA8</f>
        <v>7.7174017200576173E-3</v>
      </c>
      <c r="BC30" s="11">
        <f>'5f. Prevalence 6'!BB8</f>
        <v>1.1576102580086426E-2</v>
      </c>
      <c r="BD30" s="11">
        <f>'5f. Prevalence 6'!BC8</f>
        <v>1.5434803440115235E-2</v>
      </c>
      <c r="BE30" s="11">
        <f>'5f. Prevalence 6'!BD8</f>
        <v>1.9293504300144041E-2</v>
      </c>
      <c r="BF30" s="11">
        <f>'5f. Prevalence 6'!BE8</f>
        <v>2.3152205160172853E-2</v>
      </c>
      <c r="BG30" s="11">
        <f>'5f. Prevalence 6'!BF8</f>
        <v>2.7010906020201661E-2</v>
      </c>
      <c r="BH30" s="11">
        <f>'5f. Prevalence 6'!BG8</f>
        <v>3.0869606880230469E-2</v>
      </c>
      <c r="BI30" s="11">
        <f>'5f. Prevalence 6'!BH8</f>
        <v>3.4728307740259277E-2</v>
      </c>
      <c r="BJ30" s="11">
        <f>'5f. Prevalence 6'!BI8</f>
        <v>3.8587008600288082E-2</v>
      </c>
      <c r="BK30" s="35">
        <f>'5f. Prevalence 6'!BJ8</f>
        <v>4.2445709460316894E-2</v>
      </c>
      <c r="BL30" s="35">
        <f>'5f. Prevalence 6'!BK8</f>
        <v>4.2445709460316894E-2</v>
      </c>
      <c r="BM30" s="35">
        <f>'5f. Prevalence 6'!BL8</f>
        <v>4.2445709460316894E-2</v>
      </c>
      <c r="BN30" s="35">
        <f>'5f. Prevalence 6'!BM8</f>
        <v>4.2445709460316894E-2</v>
      </c>
      <c r="BO30" s="35">
        <f>'5f. Prevalence 6'!BN8</f>
        <v>4.2445709460316894E-2</v>
      </c>
      <c r="BP30" s="35">
        <f>'5f. Prevalence 6'!BO8</f>
        <v>4.2445709460316894E-2</v>
      </c>
      <c r="BQ30" s="35">
        <f>'5f. Prevalence 6'!BP8</f>
        <v>4.2445709460316894E-2</v>
      </c>
      <c r="BR30" s="35">
        <f>'5f. Prevalence 6'!BQ8</f>
        <v>4.2445709460316894E-2</v>
      </c>
      <c r="BS30" s="35">
        <f>'5f. Prevalence 6'!BR8</f>
        <v>4.2445709460316894E-2</v>
      </c>
      <c r="BT30" s="35">
        <f>'5f. Prevalence 6'!BS8</f>
        <v>4.2445709460316894E-2</v>
      </c>
      <c r="BU30" s="35">
        <f>'5f. Prevalence 6'!BT8</f>
        <v>4.2445709460316894E-2</v>
      </c>
      <c r="BV30" s="35">
        <f>'5f. Prevalence 6'!BU8</f>
        <v>4.2445709460316894E-2</v>
      </c>
      <c r="BW30" s="35">
        <f>'5f. Prevalence 6'!BV8</f>
        <v>4.2445709460316894E-2</v>
      </c>
      <c r="BX30" s="35">
        <f>'5f. Prevalence 6'!BW8</f>
        <v>4.2445709460316894E-2</v>
      </c>
      <c r="BY30" s="35">
        <f>'5f. Prevalence 6'!BX8</f>
        <v>4.2445709460316894E-2</v>
      </c>
      <c r="BZ30" s="35">
        <f>'5f. Prevalence 6'!BY8</f>
        <v>0.1395775368643126</v>
      </c>
      <c r="CA30" s="35">
        <f>'5f. Prevalence 6'!BZ8</f>
        <v>0.1395775368643126</v>
      </c>
      <c r="CB30" s="35">
        <f>'5f. Prevalence 6'!CA8</f>
        <v>0.1395775368643126</v>
      </c>
      <c r="CC30" s="35">
        <f>'5f. Prevalence 6'!CB8</f>
        <v>0.1395775368643126</v>
      </c>
      <c r="CD30" s="35">
        <f>'5f. Prevalence 6'!CC8</f>
        <v>0.1395775368643126</v>
      </c>
      <c r="CE30" s="35">
        <f>'5f. Prevalence 6'!CD8</f>
        <v>0.1395775368643126</v>
      </c>
      <c r="CF30" s="35">
        <f>'5f. Prevalence 6'!CE8</f>
        <v>0.1395775368643126</v>
      </c>
      <c r="CG30" s="35">
        <f>'5f. Prevalence 6'!CF8</f>
        <v>0.1395775368643126</v>
      </c>
      <c r="CH30" s="35">
        <f>'5f. Prevalence 6'!CG8</f>
        <v>0.1395775368643126</v>
      </c>
      <c r="CI30" s="35">
        <f>'5f. Prevalence 6'!CH8</f>
        <v>0.1395775368643126</v>
      </c>
      <c r="CJ30" s="35">
        <f>'5f. Prevalence 6'!CI8</f>
        <v>0.32372302995552837</v>
      </c>
      <c r="CK30" s="35">
        <f t="shared" si="1"/>
        <v>0.32372302995552837</v>
      </c>
      <c r="CL30" s="35">
        <f t="shared" si="1"/>
        <v>0.32372302995552837</v>
      </c>
      <c r="CM30" s="35">
        <f t="shared" si="1"/>
        <v>0.32372302995552837</v>
      </c>
      <c r="CN30" s="35">
        <f t="shared" si="1"/>
        <v>0.32372302995552837</v>
      </c>
      <c r="CO30" s="35">
        <f t="shared" si="1"/>
        <v>0.32372302995552837</v>
      </c>
      <c r="CP30" s="35">
        <f t="shared" si="1"/>
        <v>0.32372302995552837</v>
      </c>
      <c r="CQ30" s="35">
        <f t="shared" si="1"/>
        <v>0.32372302995552837</v>
      </c>
      <c r="CR30" s="35">
        <f t="shared" si="1"/>
        <v>0.32372302995552837</v>
      </c>
      <c r="CS30" s="35">
        <f t="shared" si="1"/>
        <v>0.32372302995552837</v>
      </c>
      <c r="CT30" s="35">
        <f t="shared" si="1"/>
        <v>0.32372302995552837</v>
      </c>
      <c r="CU30" s="35">
        <f t="shared" si="1"/>
        <v>0.32372302995552837</v>
      </c>
      <c r="CV30" s="35">
        <f t="shared" si="1"/>
        <v>0.32372302995552837</v>
      </c>
      <c r="CW30" s="35">
        <f t="shared" si="1"/>
        <v>0.32372302995552837</v>
      </c>
      <c r="CX30" s="35">
        <f t="shared" si="1"/>
        <v>0.32372302995552837</v>
      </c>
      <c r="CY30" s="35">
        <f t="shared" si="1"/>
        <v>0.32372302995552837</v>
      </c>
    </row>
    <row r="31" spans="1:103" x14ac:dyDescent="0.45">
      <c r="A31" s="11" t="s">
        <v>160</v>
      </c>
      <c r="B31" s="11">
        <v>0</v>
      </c>
      <c r="C31" s="11">
        <f>'5f. Prevalence 6'!B9</f>
        <v>0</v>
      </c>
      <c r="D31" s="11">
        <f>'5f. Prevalence 6'!C9</f>
        <v>0</v>
      </c>
      <c r="E31" s="11">
        <f>'5f. Prevalence 6'!D9</f>
        <v>0</v>
      </c>
      <c r="F31" s="11">
        <f>'5f. Prevalence 6'!E9</f>
        <v>0</v>
      </c>
      <c r="G31" s="11">
        <f>'5f. Prevalence 6'!F9</f>
        <v>0</v>
      </c>
      <c r="H31" s="11">
        <f>'5f. Prevalence 6'!G9</f>
        <v>0</v>
      </c>
      <c r="I31" s="11">
        <f>'5f. Prevalence 6'!H9</f>
        <v>0</v>
      </c>
      <c r="J31" s="11">
        <f>'5f. Prevalence 6'!I9</f>
        <v>0</v>
      </c>
      <c r="K31" s="11">
        <f>'5f. Prevalence 6'!J9</f>
        <v>0</v>
      </c>
      <c r="L31" s="11">
        <f>'5f. Prevalence 6'!K9</f>
        <v>0</v>
      </c>
      <c r="M31" s="11">
        <f>'5f. Prevalence 6'!L9</f>
        <v>0</v>
      </c>
      <c r="N31" s="11">
        <f>'5f. Prevalence 6'!M9</f>
        <v>0</v>
      </c>
      <c r="O31" s="11">
        <f>'5f. Prevalence 6'!N9</f>
        <v>0</v>
      </c>
      <c r="P31" s="11">
        <f>'5f. Prevalence 6'!O9</f>
        <v>0</v>
      </c>
      <c r="Q31" s="11">
        <f>'5f. Prevalence 6'!P9</f>
        <v>0</v>
      </c>
      <c r="R31" s="11">
        <f>'5f. Prevalence 6'!Q9</f>
        <v>0</v>
      </c>
      <c r="S31" s="11">
        <f>'5f. Prevalence 6'!R9</f>
        <v>0</v>
      </c>
      <c r="T31" s="11">
        <f>'5f. Prevalence 6'!S9</f>
        <v>0</v>
      </c>
      <c r="U31" s="11">
        <f>'5f. Prevalence 6'!T9</f>
        <v>0</v>
      </c>
      <c r="V31" s="11">
        <f>'5f. Prevalence 6'!U9</f>
        <v>0</v>
      </c>
      <c r="W31" s="11">
        <f>'5f. Prevalence 6'!V9</f>
        <v>0</v>
      </c>
      <c r="X31" s="11">
        <f>'5f. Prevalence 6'!W9</f>
        <v>0</v>
      </c>
      <c r="Y31" s="11">
        <f>'5f. Prevalence 6'!X9</f>
        <v>0</v>
      </c>
      <c r="Z31" s="11">
        <f>'5f. Prevalence 6'!Y9</f>
        <v>0</v>
      </c>
      <c r="AA31" s="11">
        <f>'5f. Prevalence 6'!Z9</f>
        <v>0</v>
      </c>
      <c r="AB31" s="11">
        <f>'5f. Prevalence 6'!AA9</f>
        <v>0</v>
      </c>
      <c r="AC31" s="11">
        <f>'5f. Prevalence 6'!AB9</f>
        <v>0</v>
      </c>
      <c r="AD31" s="11">
        <f>'5f. Prevalence 6'!AC9</f>
        <v>0</v>
      </c>
      <c r="AE31" s="11">
        <f>'5f. Prevalence 6'!AD9</f>
        <v>0</v>
      </c>
      <c r="AF31" s="11">
        <f>'5f. Prevalence 6'!AE9</f>
        <v>0</v>
      </c>
      <c r="AG31" s="11">
        <f>'5f. Prevalence 6'!AF9</f>
        <v>0</v>
      </c>
      <c r="AH31" s="11">
        <f>'5f. Prevalence 6'!AG9</f>
        <v>0</v>
      </c>
      <c r="AI31" s="11">
        <f>'5f. Prevalence 6'!AH9</f>
        <v>0</v>
      </c>
      <c r="AJ31" s="11">
        <f>'5f. Prevalence 6'!AI9</f>
        <v>0</v>
      </c>
      <c r="AK31" s="11">
        <f>'5f. Prevalence 6'!AJ9</f>
        <v>0</v>
      </c>
      <c r="AL31" s="11">
        <f>'5f. Prevalence 6'!AK9</f>
        <v>0</v>
      </c>
      <c r="AM31" s="11">
        <f>'5f. Prevalence 6'!AL9</f>
        <v>0</v>
      </c>
      <c r="AN31" s="11">
        <f>'5f. Prevalence 6'!AM9</f>
        <v>0</v>
      </c>
      <c r="AO31" s="11">
        <f>'5f. Prevalence 6'!AN9</f>
        <v>0</v>
      </c>
      <c r="AP31" s="11">
        <f>'5f. Prevalence 6'!AO9</f>
        <v>0</v>
      </c>
      <c r="AQ31" s="11">
        <f>'5f. Prevalence 6'!AP9</f>
        <v>0</v>
      </c>
      <c r="AR31" s="11">
        <f>'5f. Prevalence 6'!AQ9</f>
        <v>0</v>
      </c>
      <c r="AS31" s="11">
        <f>'5f. Prevalence 6'!AR9</f>
        <v>0</v>
      </c>
      <c r="AT31" s="11">
        <f>'5f. Prevalence 6'!AS9</f>
        <v>0</v>
      </c>
      <c r="AU31" s="11">
        <f>'5f. Prevalence 6'!AT9</f>
        <v>0</v>
      </c>
      <c r="AV31" s="11">
        <f>'5f. Prevalence 6'!AU9</f>
        <v>0</v>
      </c>
      <c r="AW31" s="11">
        <f>'5f. Prevalence 6'!AV9</f>
        <v>0</v>
      </c>
      <c r="AX31" s="11">
        <f>'5f. Prevalence 6'!AW9</f>
        <v>0</v>
      </c>
      <c r="AY31" s="11">
        <f>'5f. Prevalence 6'!AX9</f>
        <v>0</v>
      </c>
      <c r="AZ31" s="11">
        <f>'5f. Prevalence 6'!AY9</f>
        <v>0</v>
      </c>
      <c r="BA31" s="11">
        <f>'5f. Prevalence 6'!AZ9</f>
        <v>4.1616247172907919E-3</v>
      </c>
      <c r="BB31" s="11">
        <f>'5f. Prevalence 6'!BA9</f>
        <v>8.3232494345815838E-3</v>
      </c>
      <c r="BC31" s="11">
        <f>'5f. Prevalence 6'!BB9</f>
        <v>1.2484874151872376E-2</v>
      </c>
      <c r="BD31" s="11">
        <f>'5f. Prevalence 6'!BC9</f>
        <v>1.6646498869163168E-2</v>
      </c>
      <c r="BE31" s="11">
        <f>'5f. Prevalence 6'!BD9</f>
        <v>2.080812358645396E-2</v>
      </c>
      <c r="BF31" s="11">
        <f>'5f. Prevalence 6'!BE9</f>
        <v>2.4969748303744752E-2</v>
      </c>
      <c r="BG31" s="11">
        <f>'5f. Prevalence 6'!BF9</f>
        <v>2.9131373021035543E-2</v>
      </c>
      <c r="BH31" s="11">
        <f>'5f. Prevalence 6'!BG9</f>
        <v>3.3292997738326335E-2</v>
      </c>
      <c r="BI31" s="11">
        <f>'5f. Prevalence 6'!BH9</f>
        <v>3.7454622455617127E-2</v>
      </c>
      <c r="BJ31" s="11">
        <f>'5f. Prevalence 6'!BI9</f>
        <v>4.1616247172907919E-2</v>
      </c>
      <c r="BK31" s="35">
        <f>'5f. Prevalence 6'!BJ9</f>
        <v>4.5777871890198711E-2</v>
      </c>
      <c r="BL31" s="35">
        <f>'5f. Prevalence 6'!BK9</f>
        <v>4.5777871890198711E-2</v>
      </c>
      <c r="BM31" s="35">
        <f>'5f. Prevalence 6'!BL9</f>
        <v>4.5777871890198711E-2</v>
      </c>
      <c r="BN31" s="35">
        <f>'5f. Prevalence 6'!BM9</f>
        <v>4.5777871890198711E-2</v>
      </c>
      <c r="BO31" s="35">
        <f>'5f. Prevalence 6'!BN9</f>
        <v>4.5777871890198711E-2</v>
      </c>
      <c r="BP31" s="35">
        <f>'5f. Prevalence 6'!BO9</f>
        <v>4.5777871890198711E-2</v>
      </c>
      <c r="BQ31" s="35">
        <f>'5f. Prevalence 6'!BP9</f>
        <v>4.5777871890198711E-2</v>
      </c>
      <c r="BR31" s="35">
        <f>'5f. Prevalence 6'!BQ9</f>
        <v>4.5777871890198711E-2</v>
      </c>
      <c r="BS31" s="35">
        <f>'5f. Prevalence 6'!BR9</f>
        <v>4.5777871890198711E-2</v>
      </c>
      <c r="BT31" s="35">
        <f>'5f. Prevalence 6'!BS9</f>
        <v>4.5777871890198711E-2</v>
      </c>
      <c r="BU31" s="35">
        <f>'5f. Prevalence 6'!BT9</f>
        <v>4.5777871890198711E-2</v>
      </c>
      <c r="BV31" s="35">
        <f>'5f. Prevalence 6'!BU9</f>
        <v>4.5777871890198711E-2</v>
      </c>
      <c r="BW31" s="35">
        <f>'5f. Prevalence 6'!BV9</f>
        <v>4.5777871890198711E-2</v>
      </c>
      <c r="BX31" s="35">
        <f>'5f. Prevalence 6'!BW9</f>
        <v>4.5777871890198711E-2</v>
      </c>
      <c r="BY31" s="35">
        <f>'5f. Prevalence 6'!BX9</f>
        <v>4.5777871890198711E-2</v>
      </c>
      <c r="BZ31" s="35">
        <f>'5f. Prevalence 6'!BY9</f>
        <v>0.14286207675568427</v>
      </c>
      <c r="CA31" s="35">
        <f>'5f. Prevalence 6'!BZ9</f>
        <v>0.14286207675568427</v>
      </c>
      <c r="CB31" s="35">
        <f>'5f. Prevalence 6'!CA9</f>
        <v>0.14286207675568427</v>
      </c>
      <c r="CC31" s="35">
        <f>'5f. Prevalence 6'!CB9</f>
        <v>0.14286207675568427</v>
      </c>
      <c r="CD31" s="35">
        <f>'5f. Prevalence 6'!CC9</f>
        <v>0.14286207675568427</v>
      </c>
      <c r="CE31" s="35">
        <f>'5f. Prevalence 6'!CD9</f>
        <v>0.14286207675568427</v>
      </c>
      <c r="CF31" s="35">
        <f>'5f. Prevalence 6'!CE9</f>
        <v>0.14286207675568427</v>
      </c>
      <c r="CG31" s="35">
        <f>'5f. Prevalence 6'!CF9</f>
        <v>0.14286207675568427</v>
      </c>
      <c r="CH31" s="35">
        <f>'5f. Prevalence 6'!CG9</f>
        <v>0.14286207675568427</v>
      </c>
      <c r="CI31" s="35">
        <f>'5f. Prevalence 6'!CH9</f>
        <v>0.14286207675568427</v>
      </c>
      <c r="CJ31" s="35">
        <f>'5f. Prevalence 6'!CI9</f>
        <v>0.32027894051635519</v>
      </c>
      <c r="CK31" s="35">
        <f t="shared" si="1"/>
        <v>0.32027894051635519</v>
      </c>
      <c r="CL31" s="35">
        <f t="shared" si="1"/>
        <v>0.32027894051635519</v>
      </c>
      <c r="CM31" s="35">
        <f t="shared" si="1"/>
        <v>0.32027894051635519</v>
      </c>
      <c r="CN31" s="35">
        <f t="shared" si="1"/>
        <v>0.32027894051635519</v>
      </c>
      <c r="CO31" s="35">
        <f t="shared" si="1"/>
        <v>0.32027894051635519</v>
      </c>
      <c r="CP31" s="35">
        <f t="shared" si="1"/>
        <v>0.32027894051635519</v>
      </c>
      <c r="CQ31" s="35">
        <f t="shared" si="1"/>
        <v>0.32027894051635519</v>
      </c>
      <c r="CR31" s="35">
        <f t="shared" si="1"/>
        <v>0.32027894051635519</v>
      </c>
      <c r="CS31" s="35">
        <f t="shared" si="1"/>
        <v>0.32027894051635519</v>
      </c>
      <c r="CT31" s="35">
        <f t="shared" si="1"/>
        <v>0.32027894051635519</v>
      </c>
      <c r="CU31" s="35">
        <f t="shared" si="1"/>
        <v>0.32027894051635519</v>
      </c>
      <c r="CV31" s="35">
        <f t="shared" si="1"/>
        <v>0.32027894051635519</v>
      </c>
      <c r="CW31" s="35">
        <f t="shared" si="1"/>
        <v>0.32027894051635519</v>
      </c>
      <c r="CX31" s="35">
        <f t="shared" si="1"/>
        <v>0.32027894051635519</v>
      </c>
      <c r="CY31" s="35">
        <f t="shared" si="1"/>
        <v>0.32027894051635519</v>
      </c>
    </row>
    <row r="32" spans="1:103" x14ac:dyDescent="0.45">
      <c r="A32" s="2" t="s">
        <v>161</v>
      </c>
      <c r="B32" s="2">
        <v>0</v>
      </c>
      <c r="C32" s="2">
        <f>'5f. Prevalence 6'!B10</f>
        <v>0</v>
      </c>
      <c r="D32" s="2">
        <f>'5f. Prevalence 6'!C10</f>
        <v>0</v>
      </c>
      <c r="E32" s="2">
        <f>'5f. Prevalence 6'!D10</f>
        <v>0</v>
      </c>
      <c r="F32" s="2">
        <f>'5f. Prevalence 6'!E10</f>
        <v>0</v>
      </c>
      <c r="G32" s="2">
        <f>'5f. Prevalence 6'!F10</f>
        <v>0</v>
      </c>
      <c r="H32" s="2">
        <f>'5f. Prevalence 6'!G10</f>
        <v>0</v>
      </c>
      <c r="I32" s="2">
        <f>'5f. Prevalence 6'!H10</f>
        <v>0</v>
      </c>
      <c r="J32" s="2">
        <f>'5f. Prevalence 6'!I10</f>
        <v>0</v>
      </c>
      <c r="K32" s="2">
        <f>'5f. Prevalence 6'!J10</f>
        <v>0</v>
      </c>
      <c r="L32" s="2">
        <f>'5f. Prevalence 6'!K10</f>
        <v>0</v>
      </c>
      <c r="M32" s="2">
        <f>'5f. Prevalence 6'!L10</f>
        <v>0</v>
      </c>
      <c r="N32" s="2">
        <f>'5f. Prevalence 6'!M10</f>
        <v>0</v>
      </c>
      <c r="O32" s="2">
        <f>'5f. Prevalence 6'!N10</f>
        <v>0</v>
      </c>
      <c r="P32" s="2">
        <f>'5f. Prevalence 6'!O10</f>
        <v>0</v>
      </c>
      <c r="Q32" s="2">
        <f>'5f. Prevalence 6'!P10</f>
        <v>0</v>
      </c>
      <c r="R32" s="2">
        <f>'5f. Prevalence 6'!Q10</f>
        <v>0</v>
      </c>
      <c r="S32" s="2">
        <f>'5f. Prevalence 6'!R10</f>
        <v>0</v>
      </c>
      <c r="T32" s="2">
        <f>'5f. Prevalence 6'!S10</f>
        <v>0</v>
      </c>
      <c r="U32" s="2">
        <f>'5f. Prevalence 6'!T10</f>
        <v>0</v>
      </c>
      <c r="V32" s="2">
        <f>'5f. Prevalence 6'!U10</f>
        <v>0</v>
      </c>
      <c r="W32" s="2">
        <f>'5f. Prevalence 6'!V10</f>
        <v>0</v>
      </c>
      <c r="X32" s="2">
        <f>'5f. Prevalence 6'!W10</f>
        <v>0</v>
      </c>
      <c r="Y32" s="2">
        <f>'5f. Prevalence 6'!X10</f>
        <v>0</v>
      </c>
      <c r="Z32" s="2">
        <f>'5f. Prevalence 6'!Y10</f>
        <v>0</v>
      </c>
      <c r="AA32" s="2">
        <f>'5f. Prevalence 6'!Z10</f>
        <v>0</v>
      </c>
      <c r="AB32" s="2">
        <f>'5f. Prevalence 6'!AA10</f>
        <v>0</v>
      </c>
      <c r="AC32" s="2">
        <f>'5f. Prevalence 6'!AB10</f>
        <v>0</v>
      </c>
      <c r="AD32" s="2">
        <f>'5f. Prevalence 6'!AC10</f>
        <v>0</v>
      </c>
      <c r="AE32" s="2">
        <f>'5f. Prevalence 6'!AD10</f>
        <v>0</v>
      </c>
      <c r="AF32" s="2">
        <f>'5f. Prevalence 6'!AE10</f>
        <v>0</v>
      </c>
      <c r="AG32" s="2">
        <f>'5f. Prevalence 6'!AF10</f>
        <v>0</v>
      </c>
      <c r="AH32" s="2">
        <f>'5f. Prevalence 6'!AG10</f>
        <v>0</v>
      </c>
      <c r="AI32" s="2">
        <f>'5f. Prevalence 6'!AH10</f>
        <v>0</v>
      </c>
      <c r="AJ32" s="2">
        <f>'5f. Prevalence 6'!AI10</f>
        <v>0</v>
      </c>
      <c r="AK32" s="2">
        <f>'5f. Prevalence 6'!AJ10</f>
        <v>0</v>
      </c>
      <c r="AL32" s="2">
        <f>'5f. Prevalence 6'!AK10</f>
        <v>0</v>
      </c>
      <c r="AM32" s="2">
        <f>'5f. Prevalence 6'!AL10</f>
        <v>0</v>
      </c>
      <c r="AN32" s="2">
        <f>'5f. Prevalence 6'!AM10</f>
        <v>0</v>
      </c>
      <c r="AO32" s="2">
        <f>'5f. Prevalence 6'!AN10</f>
        <v>0</v>
      </c>
      <c r="AP32" s="2">
        <f>'5f. Prevalence 6'!AO10</f>
        <v>0</v>
      </c>
      <c r="AQ32" s="2">
        <f>'5f. Prevalence 6'!AP10</f>
        <v>0</v>
      </c>
      <c r="AR32" s="2">
        <f>'5f. Prevalence 6'!AQ10</f>
        <v>0</v>
      </c>
      <c r="AS32" s="2">
        <f>'5f. Prevalence 6'!AR10</f>
        <v>0</v>
      </c>
      <c r="AT32" s="2">
        <f>'5f. Prevalence 6'!AS10</f>
        <v>0</v>
      </c>
      <c r="AU32" s="2">
        <f>'5f. Prevalence 6'!AT10</f>
        <v>0</v>
      </c>
      <c r="AV32" s="2">
        <f>'5f. Prevalence 6'!AU10</f>
        <v>0</v>
      </c>
      <c r="AW32" s="2">
        <f>'5f. Prevalence 6'!AV10</f>
        <v>0</v>
      </c>
      <c r="AX32" s="2">
        <f>'5f. Prevalence 6'!AW10</f>
        <v>0</v>
      </c>
      <c r="AY32" s="2">
        <f>'5f. Prevalence 6'!AX10</f>
        <v>0</v>
      </c>
      <c r="AZ32" s="2">
        <f>'5f. Prevalence 6'!AY10</f>
        <v>0</v>
      </c>
      <c r="BA32" s="2">
        <f>'5f. Prevalence 6'!AZ10</f>
        <v>3.1692980136972013E-2</v>
      </c>
      <c r="BB32" s="2">
        <f>'5f. Prevalence 6'!BA10</f>
        <v>6.3385960273944025E-2</v>
      </c>
      <c r="BC32" s="2">
        <f>'5f. Prevalence 6'!BB10</f>
        <v>9.5078940410916038E-2</v>
      </c>
      <c r="BD32" s="2">
        <f>'5f. Prevalence 6'!BC10</f>
        <v>0.12677192054788805</v>
      </c>
      <c r="BE32" s="2">
        <f>'5f. Prevalence 6'!BD10</f>
        <v>0.15846490068486005</v>
      </c>
      <c r="BF32" s="2">
        <f>'5f. Prevalence 6'!BE10</f>
        <v>0.19015788082183208</v>
      </c>
      <c r="BG32" s="2">
        <f>'5f. Prevalence 6'!BF10</f>
        <v>0.2218508609588041</v>
      </c>
      <c r="BH32" s="2">
        <f>'5f. Prevalence 6'!BG10</f>
        <v>0.2535438410957761</v>
      </c>
      <c r="BI32" s="2">
        <f>'5f. Prevalence 6'!BH10</f>
        <v>0.28523682123274807</v>
      </c>
      <c r="BJ32" s="2">
        <f>'5f. Prevalence 6'!BI10</f>
        <v>0.3169298013697201</v>
      </c>
      <c r="BK32" s="36">
        <f>'5f. Prevalence 6'!BJ10</f>
        <v>0.34862278150669213</v>
      </c>
      <c r="BL32" s="36">
        <f>'5f. Prevalence 6'!BK10</f>
        <v>0.34862278150669213</v>
      </c>
      <c r="BM32" s="36">
        <f>'5f. Prevalence 6'!BL10</f>
        <v>0.34862278150669213</v>
      </c>
      <c r="BN32" s="36">
        <f>'5f. Prevalence 6'!BM10</f>
        <v>0.34862278150669213</v>
      </c>
      <c r="BO32" s="36">
        <f>'5f. Prevalence 6'!BN10</f>
        <v>0.34862278150669213</v>
      </c>
      <c r="BP32" s="36">
        <f>'5f. Prevalence 6'!BO10</f>
        <v>0.34862278150669213</v>
      </c>
      <c r="BQ32" s="36">
        <f>'5f. Prevalence 6'!BP10</f>
        <v>0.34862278150669213</v>
      </c>
      <c r="BR32" s="36">
        <f>'5f. Prevalence 6'!BQ10</f>
        <v>0.34862278150669213</v>
      </c>
      <c r="BS32" s="36">
        <f>'5f. Prevalence 6'!BR10</f>
        <v>0.34862278150669213</v>
      </c>
      <c r="BT32" s="36">
        <f>'5f. Prevalence 6'!BS10</f>
        <v>0.34862278150669213</v>
      </c>
      <c r="BU32" s="36">
        <f>'5f. Prevalence 6'!BT10</f>
        <v>0.34862278150669213</v>
      </c>
      <c r="BV32" s="36">
        <f>'5f. Prevalence 6'!BU10</f>
        <v>0.34862278150669213</v>
      </c>
      <c r="BW32" s="36">
        <f>'5f. Prevalence 6'!BV10</f>
        <v>0.34862278150669213</v>
      </c>
      <c r="BX32" s="36">
        <f>'5f. Prevalence 6'!BW10</f>
        <v>0.34862278150669213</v>
      </c>
      <c r="BY32" s="36">
        <f>'5f. Prevalence 6'!BX10</f>
        <v>0.34862278150669213</v>
      </c>
      <c r="BZ32" s="36">
        <f>'5f. Prevalence 6'!BY10</f>
        <v>0.47342140603335259</v>
      </c>
      <c r="CA32" s="36">
        <f>'5f. Prevalence 6'!BZ10</f>
        <v>0.47342140603335259</v>
      </c>
      <c r="CB32" s="36">
        <f>'5f. Prevalence 6'!CA10</f>
        <v>0.47342140603335259</v>
      </c>
      <c r="CC32" s="36">
        <f>'5f. Prevalence 6'!CB10</f>
        <v>0.47342140603335259</v>
      </c>
      <c r="CD32" s="36">
        <f>'5f. Prevalence 6'!CC10</f>
        <v>0.47342140603335259</v>
      </c>
      <c r="CE32" s="36">
        <f>'5f. Prevalence 6'!CD10</f>
        <v>0.47342140603335259</v>
      </c>
      <c r="CF32" s="36">
        <f>'5f. Prevalence 6'!CE10</f>
        <v>0.47342140603335259</v>
      </c>
      <c r="CG32" s="36">
        <f>'5f. Prevalence 6'!CF10</f>
        <v>0.47342140603335259</v>
      </c>
      <c r="CH32" s="36">
        <f>'5f. Prevalence 6'!CG10</f>
        <v>0.47342140603335259</v>
      </c>
      <c r="CI32" s="36">
        <f>'5f. Prevalence 6'!CH10</f>
        <v>0.47342140603335259</v>
      </c>
      <c r="CJ32" s="36">
        <f>'5f. Prevalence 6'!CI10</f>
        <v>0.49650417955428156</v>
      </c>
      <c r="CK32" s="36">
        <f>CJ32</f>
        <v>0.49650417955428156</v>
      </c>
      <c r="CL32" s="36">
        <f t="shared" ref="CL32:CY32" si="2">CK32</f>
        <v>0.49650417955428156</v>
      </c>
      <c r="CM32" s="36">
        <f t="shared" si="2"/>
        <v>0.49650417955428156</v>
      </c>
      <c r="CN32" s="36">
        <f t="shared" si="2"/>
        <v>0.49650417955428156</v>
      </c>
      <c r="CO32" s="36">
        <f t="shared" si="2"/>
        <v>0.49650417955428156</v>
      </c>
      <c r="CP32" s="36">
        <f t="shared" si="2"/>
        <v>0.49650417955428156</v>
      </c>
      <c r="CQ32" s="36">
        <f t="shared" si="2"/>
        <v>0.49650417955428156</v>
      </c>
      <c r="CR32" s="36">
        <f t="shared" si="2"/>
        <v>0.49650417955428156</v>
      </c>
      <c r="CS32" s="36">
        <f t="shared" si="2"/>
        <v>0.49650417955428156</v>
      </c>
      <c r="CT32" s="36">
        <f t="shared" si="2"/>
        <v>0.49650417955428156</v>
      </c>
      <c r="CU32" s="36">
        <f t="shared" si="2"/>
        <v>0.49650417955428156</v>
      </c>
      <c r="CV32" s="36">
        <f t="shared" si="2"/>
        <v>0.49650417955428156</v>
      </c>
      <c r="CW32" s="36">
        <f t="shared" si="2"/>
        <v>0.49650417955428156</v>
      </c>
      <c r="CX32" s="36">
        <f t="shared" si="2"/>
        <v>0.49650417955428156</v>
      </c>
      <c r="CY32" s="36">
        <f t="shared" si="2"/>
        <v>0.49650417955428156</v>
      </c>
    </row>
    <row r="33" spans="1:103" x14ac:dyDescent="0.45">
      <c r="A33" s="2" t="s">
        <v>162</v>
      </c>
      <c r="B33" s="2">
        <v>0</v>
      </c>
      <c r="C33" s="2">
        <f>'5f. Prevalence 6'!B11</f>
        <v>0</v>
      </c>
      <c r="D33" s="2">
        <f>'5f. Prevalence 6'!C11</f>
        <v>0</v>
      </c>
      <c r="E33" s="2">
        <f>'5f. Prevalence 6'!D11</f>
        <v>0</v>
      </c>
      <c r="F33" s="2">
        <f>'5f. Prevalence 6'!E11</f>
        <v>0</v>
      </c>
      <c r="G33" s="2">
        <f>'5f. Prevalence 6'!F11</f>
        <v>0</v>
      </c>
      <c r="H33" s="2">
        <f>'5f. Prevalence 6'!G11</f>
        <v>0</v>
      </c>
      <c r="I33" s="2">
        <f>'5f. Prevalence 6'!H11</f>
        <v>0</v>
      </c>
      <c r="J33" s="2">
        <f>'5f. Prevalence 6'!I11</f>
        <v>0</v>
      </c>
      <c r="K33" s="2">
        <f>'5f. Prevalence 6'!J11</f>
        <v>0</v>
      </c>
      <c r="L33" s="2">
        <f>'5f. Prevalence 6'!K11</f>
        <v>0</v>
      </c>
      <c r="M33" s="2">
        <f>'5f. Prevalence 6'!L11</f>
        <v>0</v>
      </c>
      <c r="N33" s="2">
        <f>'5f. Prevalence 6'!M11</f>
        <v>0</v>
      </c>
      <c r="O33" s="2">
        <f>'5f. Prevalence 6'!N11</f>
        <v>0</v>
      </c>
      <c r="P33" s="2">
        <f>'5f. Prevalence 6'!O11</f>
        <v>0</v>
      </c>
      <c r="Q33" s="2">
        <f>'5f. Prevalence 6'!P11</f>
        <v>0</v>
      </c>
      <c r="R33" s="2">
        <f>'5f. Prevalence 6'!Q11</f>
        <v>0</v>
      </c>
      <c r="S33" s="2">
        <f>'5f. Prevalence 6'!R11</f>
        <v>0</v>
      </c>
      <c r="T33" s="2">
        <f>'5f. Prevalence 6'!S11</f>
        <v>0</v>
      </c>
      <c r="U33" s="2">
        <f>'5f. Prevalence 6'!T11</f>
        <v>0</v>
      </c>
      <c r="V33" s="2">
        <f>'5f. Prevalence 6'!U11</f>
        <v>0</v>
      </c>
      <c r="W33" s="2">
        <f>'5f. Prevalence 6'!V11</f>
        <v>0</v>
      </c>
      <c r="X33" s="2">
        <f>'5f. Prevalence 6'!W11</f>
        <v>0</v>
      </c>
      <c r="Y33" s="2">
        <f>'5f. Prevalence 6'!X11</f>
        <v>0</v>
      </c>
      <c r="Z33" s="2">
        <f>'5f. Prevalence 6'!Y11</f>
        <v>0</v>
      </c>
      <c r="AA33" s="2">
        <f>'5f. Prevalence 6'!Z11</f>
        <v>0</v>
      </c>
      <c r="AB33" s="2">
        <f>'5f. Prevalence 6'!AA11</f>
        <v>0</v>
      </c>
      <c r="AC33" s="2">
        <f>'5f. Prevalence 6'!AB11</f>
        <v>0</v>
      </c>
      <c r="AD33" s="2">
        <f>'5f. Prevalence 6'!AC11</f>
        <v>0</v>
      </c>
      <c r="AE33" s="2">
        <f>'5f. Prevalence 6'!AD11</f>
        <v>0</v>
      </c>
      <c r="AF33" s="2">
        <f>'5f. Prevalence 6'!AE11</f>
        <v>0</v>
      </c>
      <c r="AG33" s="2">
        <f>'5f. Prevalence 6'!AF11</f>
        <v>0</v>
      </c>
      <c r="AH33" s="2">
        <f>'5f. Prevalence 6'!AG11</f>
        <v>0</v>
      </c>
      <c r="AI33" s="2">
        <f>'5f. Prevalence 6'!AH11</f>
        <v>0</v>
      </c>
      <c r="AJ33" s="2">
        <f>'5f. Prevalence 6'!AI11</f>
        <v>0</v>
      </c>
      <c r="AK33" s="2">
        <f>'5f. Prevalence 6'!AJ11</f>
        <v>0</v>
      </c>
      <c r="AL33" s="2">
        <f>'5f. Prevalence 6'!AK11</f>
        <v>0</v>
      </c>
      <c r="AM33" s="2">
        <f>'5f. Prevalence 6'!AL11</f>
        <v>0</v>
      </c>
      <c r="AN33" s="2">
        <f>'5f. Prevalence 6'!AM11</f>
        <v>0</v>
      </c>
      <c r="AO33" s="2">
        <f>'5f. Prevalence 6'!AN11</f>
        <v>0</v>
      </c>
      <c r="AP33" s="2">
        <f>'5f. Prevalence 6'!AO11</f>
        <v>0</v>
      </c>
      <c r="AQ33" s="2">
        <f>'5f. Prevalence 6'!AP11</f>
        <v>0</v>
      </c>
      <c r="AR33" s="2">
        <f>'5f. Prevalence 6'!AQ11</f>
        <v>0</v>
      </c>
      <c r="AS33" s="2">
        <f>'5f. Prevalence 6'!AR11</f>
        <v>0</v>
      </c>
      <c r="AT33" s="2">
        <f>'5f. Prevalence 6'!AS11</f>
        <v>0</v>
      </c>
      <c r="AU33" s="2">
        <f>'5f. Prevalence 6'!AT11</f>
        <v>0</v>
      </c>
      <c r="AV33" s="2">
        <f>'5f. Prevalence 6'!AU11</f>
        <v>0</v>
      </c>
      <c r="AW33" s="2">
        <f>'5f. Prevalence 6'!AV11</f>
        <v>0</v>
      </c>
      <c r="AX33" s="2">
        <f>'5f. Prevalence 6'!AW11</f>
        <v>0</v>
      </c>
      <c r="AY33" s="2">
        <f>'5f. Prevalence 6'!AX11</f>
        <v>0</v>
      </c>
      <c r="AZ33" s="2">
        <f>'5f. Prevalence 6'!AY11</f>
        <v>0</v>
      </c>
      <c r="BA33" s="2">
        <f>'5f. Prevalence 6'!AZ11</f>
        <v>3.8072712307428459E-2</v>
      </c>
      <c r="BB33" s="2">
        <f>'5f. Prevalence 6'!BA11</f>
        <v>7.6145424614856919E-2</v>
      </c>
      <c r="BC33" s="2">
        <f>'5f. Prevalence 6'!BB11</f>
        <v>0.11421813692228538</v>
      </c>
      <c r="BD33" s="2">
        <f>'5f. Prevalence 6'!BC11</f>
        <v>0.15229084922971384</v>
      </c>
      <c r="BE33" s="2">
        <f>'5f. Prevalence 6'!BD11</f>
        <v>0.19036356153714229</v>
      </c>
      <c r="BF33" s="2">
        <f>'5f. Prevalence 6'!BE11</f>
        <v>0.22843627384457077</v>
      </c>
      <c r="BG33" s="2">
        <f>'5f. Prevalence 6'!BF11</f>
        <v>0.26650898615199919</v>
      </c>
      <c r="BH33" s="2">
        <f>'5f. Prevalence 6'!BG11</f>
        <v>0.30458169845942767</v>
      </c>
      <c r="BI33" s="2">
        <f>'5f. Prevalence 6'!BH11</f>
        <v>0.34265441076685615</v>
      </c>
      <c r="BJ33" s="2">
        <f>'5f. Prevalence 6'!BI11</f>
        <v>0.38072712307428458</v>
      </c>
      <c r="BK33" s="36">
        <f>'5f. Prevalence 6'!BJ11</f>
        <v>0.41879983538171306</v>
      </c>
      <c r="BL33" s="36">
        <f>'5f. Prevalence 6'!BK11</f>
        <v>0.41879983538171306</v>
      </c>
      <c r="BM33" s="36">
        <f>'5f. Prevalence 6'!BL11</f>
        <v>0.41879983538171306</v>
      </c>
      <c r="BN33" s="36">
        <f>'5f. Prevalence 6'!BM11</f>
        <v>0.41879983538171306</v>
      </c>
      <c r="BO33" s="36">
        <f>'5f. Prevalence 6'!BN11</f>
        <v>0.41879983538171306</v>
      </c>
      <c r="BP33" s="36">
        <f>'5f. Prevalence 6'!BO11</f>
        <v>0.41879983538171306</v>
      </c>
      <c r="BQ33" s="36">
        <f>'5f. Prevalence 6'!BP11</f>
        <v>0.41879983538171306</v>
      </c>
      <c r="BR33" s="36">
        <f>'5f. Prevalence 6'!BQ11</f>
        <v>0.41879983538171306</v>
      </c>
      <c r="BS33" s="36">
        <f>'5f. Prevalence 6'!BR11</f>
        <v>0.41879983538171306</v>
      </c>
      <c r="BT33" s="36">
        <f>'5f. Prevalence 6'!BS11</f>
        <v>0.41879983538171306</v>
      </c>
      <c r="BU33" s="36">
        <f>'5f. Prevalence 6'!BT11</f>
        <v>0.41879983538171306</v>
      </c>
      <c r="BV33" s="36">
        <f>'5f. Prevalence 6'!BU11</f>
        <v>0.41879983538171306</v>
      </c>
      <c r="BW33" s="36">
        <f>'5f. Prevalence 6'!BV11</f>
        <v>0.41879983538171306</v>
      </c>
      <c r="BX33" s="36">
        <f>'5f. Prevalence 6'!BW11</f>
        <v>0.41879983538171306</v>
      </c>
      <c r="BY33" s="36">
        <f>'5f. Prevalence 6'!BX11</f>
        <v>0.41879983538171306</v>
      </c>
      <c r="BZ33" s="36">
        <f>'5f. Prevalence 6'!BY11</f>
        <v>0.53994594180539168</v>
      </c>
      <c r="CA33" s="36">
        <f>'5f. Prevalence 6'!BZ11</f>
        <v>0.53994594180539168</v>
      </c>
      <c r="CB33" s="36">
        <f>'5f. Prevalence 6'!CA11</f>
        <v>0.53994594180539168</v>
      </c>
      <c r="CC33" s="36">
        <f>'5f. Prevalence 6'!CB11</f>
        <v>0.53994594180539168</v>
      </c>
      <c r="CD33" s="36">
        <f>'5f. Prevalence 6'!CC11</f>
        <v>0.53994594180539168</v>
      </c>
      <c r="CE33" s="36">
        <f>'5f. Prevalence 6'!CD11</f>
        <v>0.53994594180539168</v>
      </c>
      <c r="CF33" s="36">
        <f>'5f. Prevalence 6'!CE11</f>
        <v>0.53994594180539168</v>
      </c>
      <c r="CG33" s="36">
        <f>'5f. Prevalence 6'!CF11</f>
        <v>0.53994594180539168</v>
      </c>
      <c r="CH33" s="36">
        <f>'5f. Prevalence 6'!CG11</f>
        <v>0.53994594180539168</v>
      </c>
      <c r="CI33" s="36">
        <f>'5f. Prevalence 6'!CH11</f>
        <v>0.53994594180539168</v>
      </c>
      <c r="CJ33" s="36">
        <f>'5f. Prevalence 6'!CI11</f>
        <v>0.54832431489987699</v>
      </c>
      <c r="CK33" s="36">
        <f t="shared" ref="CK33:CY39" si="3">CJ33</f>
        <v>0.54832431489987699</v>
      </c>
      <c r="CL33" s="36">
        <f t="shared" si="3"/>
        <v>0.54832431489987699</v>
      </c>
      <c r="CM33" s="36">
        <f t="shared" si="3"/>
        <v>0.54832431489987699</v>
      </c>
      <c r="CN33" s="36">
        <f t="shared" si="3"/>
        <v>0.54832431489987699</v>
      </c>
      <c r="CO33" s="36">
        <f t="shared" si="3"/>
        <v>0.54832431489987699</v>
      </c>
      <c r="CP33" s="36">
        <f t="shared" si="3"/>
        <v>0.54832431489987699</v>
      </c>
      <c r="CQ33" s="36">
        <f t="shared" si="3"/>
        <v>0.54832431489987699</v>
      </c>
      <c r="CR33" s="36">
        <f t="shared" si="3"/>
        <v>0.54832431489987699</v>
      </c>
      <c r="CS33" s="36">
        <f t="shared" si="3"/>
        <v>0.54832431489987699</v>
      </c>
      <c r="CT33" s="36">
        <f t="shared" si="3"/>
        <v>0.54832431489987699</v>
      </c>
      <c r="CU33" s="36">
        <f t="shared" si="3"/>
        <v>0.54832431489987699</v>
      </c>
      <c r="CV33" s="36">
        <f t="shared" si="3"/>
        <v>0.54832431489987699</v>
      </c>
      <c r="CW33" s="36">
        <f t="shared" si="3"/>
        <v>0.54832431489987699</v>
      </c>
      <c r="CX33" s="36">
        <f t="shared" si="3"/>
        <v>0.54832431489987699</v>
      </c>
      <c r="CY33" s="36">
        <f t="shared" si="3"/>
        <v>0.54832431489987699</v>
      </c>
    </row>
    <row r="34" spans="1:103" x14ac:dyDescent="0.45">
      <c r="A34" s="2" t="s">
        <v>163</v>
      </c>
      <c r="B34" s="2">
        <v>0</v>
      </c>
      <c r="C34" s="2">
        <f>'5f. Prevalence 6'!B12</f>
        <v>0</v>
      </c>
      <c r="D34" s="2">
        <f>'5f. Prevalence 6'!C12</f>
        <v>0</v>
      </c>
      <c r="E34" s="2">
        <f>'5f. Prevalence 6'!D12</f>
        <v>0</v>
      </c>
      <c r="F34" s="2">
        <f>'5f. Prevalence 6'!E12</f>
        <v>0</v>
      </c>
      <c r="G34" s="2">
        <f>'5f. Prevalence 6'!F12</f>
        <v>0</v>
      </c>
      <c r="H34" s="2">
        <f>'5f. Prevalence 6'!G12</f>
        <v>0</v>
      </c>
      <c r="I34" s="2">
        <f>'5f. Prevalence 6'!H12</f>
        <v>0</v>
      </c>
      <c r="J34" s="2">
        <f>'5f. Prevalence 6'!I12</f>
        <v>0</v>
      </c>
      <c r="K34" s="2">
        <f>'5f. Prevalence 6'!J12</f>
        <v>0</v>
      </c>
      <c r="L34" s="2">
        <f>'5f. Prevalence 6'!K12</f>
        <v>0</v>
      </c>
      <c r="M34" s="2">
        <f>'5f. Prevalence 6'!L12</f>
        <v>0</v>
      </c>
      <c r="N34" s="2">
        <f>'5f. Prevalence 6'!M12</f>
        <v>0</v>
      </c>
      <c r="O34" s="2">
        <f>'5f. Prevalence 6'!N12</f>
        <v>0</v>
      </c>
      <c r="P34" s="2">
        <f>'5f. Prevalence 6'!O12</f>
        <v>0</v>
      </c>
      <c r="Q34" s="2">
        <f>'5f. Prevalence 6'!P12</f>
        <v>0</v>
      </c>
      <c r="R34" s="2">
        <f>'5f. Prevalence 6'!Q12</f>
        <v>0</v>
      </c>
      <c r="S34" s="2">
        <f>'5f. Prevalence 6'!R12</f>
        <v>0</v>
      </c>
      <c r="T34" s="2">
        <f>'5f. Prevalence 6'!S12</f>
        <v>0</v>
      </c>
      <c r="U34" s="2">
        <f>'5f. Prevalence 6'!T12</f>
        <v>0</v>
      </c>
      <c r="V34" s="2">
        <f>'5f. Prevalence 6'!U12</f>
        <v>0</v>
      </c>
      <c r="W34" s="2">
        <f>'5f. Prevalence 6'!V12</f>
        <v>0</v>
      </c>
      <c r="X34" s="2">
        <f>'5f. Prevalence 6'!W12</f>
        <v>0</v>
      </c>
      <c r="Y34" s="2">
        <f>'5f. Prevalence 6'!X12</f>
        <v>0</v>
      </c>
      <c r="Z34" s="2">
        <f>'5f. Prevalence 6'!Y12</f>
        <v>0</v>
      </c>
      <c r="AA34" s="2">
        <f>'5f. Prevalence 6'!Z12</f>
        <v>0</v>
      </c>
      <c r="AB34" s="2">
        <f>'5f. Prevalence 6'!AA12</f>
        <v>0</v>
      </c>
      <c r="AC34" s="2">
        <f>'5f. Prevalence 6'!AB12</f>
        <v>0</v>
      </c>
      <c r="AD34" s="2">
        <f>'5f. Prevalence 6'!AC12</f>
        <v>0</v>
      </c>
      <c r="AE34" s="2">
        <f>'5f. Prevalence 6'!AD12</f>
        <v>0</v>
      </c>
      <c r="AF34" s="2">
        <f>'5f. Prevalence 6'!AE12</f>
        <v>0</v>
      </c>
      <c r="AG34" s="2">
        <f>'5f. Prevalence 6'!AF12</f>
        <v>0</v>
      </c>
      <c r="AH34" s="2">
        <f>'5f. Prevalence 6'!AG12</f>
        <v>0</v>
      </c>
      <c r="AI34" s="2">
        <f>'5f. Prevalence 6'!AH12</f>
        <v>0</v>
      </c>
      <c r="AJ34" s="2">
        <f>'5f. Prevalence 6'!AI12</f>
        <v>0</v>
      </c>
      <c r="AK34" s="2">
        <f>'5f. Prevalence 6'!AJ12</f>
        <v>0</v>
      </c>
      <c r="AL34" s="2">
        <f>'5f. Prevalence 6'!AK12</f>
        <v>0</v>
      </c>
      <c r="AM34" s="2">
        <f>'5f. Prevalence 6'!AL12</f>
        <v>0</v>
      </c>
      <c r="AN34" s="2">
        <f>'5f. Prevalence 6'!AM12</f>
        <v>0</v>
      </c>
      <c r="AO34" s="2">
        <f>'5f. Prevalence 6'!AN12</f>
        <v>0</v>
      </c>
      <c r="AP34" s="2">
        <f>'5f. Prevalence 6'!AO12</f>
        <v>0</v>
      </c>
      <c r="AQ34" s="2">
        <f>'5f. Prevalence 6'!AP12</f>
        <v>0</v>
      </c>
      <c r="AR34" s="2">
        <f>'5f. Prevalence 6'!AQ12</f>
        <v>0</v>
      </c>
      <c r="AS34" s="2">
        <f>'5f. Prevalence 6'!AR12</f>
        <v>0</v>
      </c>
      <c r="AT34" s="2">
        <f>'5f. Prevalence 6'!AS12</f>
        <v>0</v>
      </c>
      <c r="AU34" s="2">
        <f>'5f. Prevalence 6'!AT12</f>
        <v>0</v>
      </c>
      <c r="AV34" s="2">
        <f>'5f. Prevalence 6'!AU12</f>
        <v>0</v>
      </c>
      <c r="AW34" s="2">
        <f>'5f. Prevalence 6'!AV12</f>
        <v>0</v>
      </c>
      <c r="AX34" s="2">
        <f>'5f. Prevalence 6'!AW12</f>
        <v>0</v>
      </c>
      <c r="AY34" s="2">
        <f>'5f. Prevalence 6'!AX12</f>
        <v>0</v>
      </c>
      <c r="AZ34" s="2">
        <f>'5f. Prevalence 6'!AY12</f>
        <v>0</v>
      </c>
      <c r="BA34" s="2">
        <f>'5f. Prevalence 6'!AZ12</f>
        <v>4.0232953361493608E-2</v>
      </c>
      <c r="BB34" s="2">
        <f>'5f. Prevalence 6'!BA12</f>
        <v>8.0465906722987215E-2</v>
      </c>
      <c r="BC34" s="2">
        <f>'5f. Prevalence 6'!BB12</f>
        <v>0.12069886008448082</v>
      </c>
      <c r="BD34" s="2">
        <f>'5f. Prevalence 6'!BC12</f>
        <v>0.16093181344597443</v>
      </c>
      <c r="BE34" s="2">
        <f>'5f. Prevalence 6'!BD12</f>
        <v>0.20116476680746806</v>
      </c>
      <c r="BF34" s="2">
        <f>'5f. Prevalence 6'!BE12</f>
        <v>0.24139772016896163</v>
      </c>
      <c r="BG34" s="2">
        <f>'5f. Prevalence 6'!BF12</f>
        <v>0.28163067353045529</v>
      </c>
      <c r="BH34" s="2">
        <f>'5f. Prevalence 6'!BG12</f>
        <v>0.32186362689194886</v>
      </c>
      <c r="BI34" s="2">
        <f>'5f. Prevalence 6'!BH12</f>
        <v>0.36209658025344243</v>
      </c>
      <c r="BJ34" s="2">
        <f>'5f. Prevalence 6'!BI12</f>
        <v>0.40232953361493612</v>
      </c>
      <c r="BK34" s="36">
        <f>'5f. Prevalence 6'!BJ12</f>
        <v>0.44256248697642969</v>
      </c>
      <c r="BL34" s="36">
        <f>'5f. Prevalence 6'!BK12</f>
        <v>0.44256248697642969</v>
      </c>
      <c r="BM34" s="36">
        <f>'5f. Prevalence 6'!BL12</f>
        <v>0.44256248697642969</v>
      </c>
      <c r="BN34" s="36">
        <f>'5f. Prevalence 6'!BM12</f>
        <v>0.44256248697642969</v>
      </c>
      <c r="BO34" s="36">
        <f>'5f. Prevalence 6'!BN12</f>
        <v>0.44256248697642969</v>
      </c>
      <c r="BP34" s="36">
        <f>'5f. Prevalence 6'!BO12</f>
        <v>0.44256248697642969</v>
      </c>
      <c r="BQ34" s="36">
        <f>'5f. Prevalence 6'!BP12</f>
        <v>0.44256248697642969</v>
      </c>
      <c r="BR34" s="36">
        <f>'5f. Prevalence 6'!BQ12</f>
        <v>0.44256248697642969</v>
      </c>
      <c r="BS34" s="36">
        <f>'5f. Prevalence 6'!BR12</f>
        <v>0.44256248697642969</v>
      </c>
      <c r="BT34" s="36">
        <f>'5f. Prevalence 6'!BS12</f>
        <v>0.44256248697642969</v>
      </c>
      <c r="BU34" s="36">
        <f>'5f. Prevalence 6'!BT12</f>
        <v>0.44256248697642969</v>
      </c>
      <c r="BV34" s="36">
        <f>'5f. Prevalence 6'!BU12</f>
        <v>0.44256248697642969</v>
      </c>
      <c r="BW34" s="36">
        <f>'5f. Prevalence 6'!BV12</f>
        <v>0.44256248697642969</v>
      </c>
      <c r="BX34" s="36">
        <f>'5f. Prevalence 6'!BW12</f>
        <v>0.44256248697642969</v>
      </c>
      <c r="BY34" s="36">
        <f>'5f. Prevalence 6'!BX12</f>
        <v>0.44256248697642969</v>
      </c>
      <c r="BZ34" s="36">
        <f>'5f. Prevalence 6'!BY12</f>
        <v>0.55355983023257294</v>
      </c>
      <c r="CA34" s="36">
        <f>'5f. Prevalence 6'!BZ12</f>
        <v>0.55355983023257294</v>
      </c>
      <c r="CB34" s="36">
        <f>'5f. Prevalence 6'!CA12</f>
        <v>0.55355983023257294</v>
      </c>
      <c r="CC34" s="36">
        <f>'5f. Prevalence 6'!CB12</f>
        <v>0.55355983023257294</v>
      </c>
      <c r="CD34" s="36">
        <f>'5f. Prevalence 6'!CC12</f>
        <v>0.55355983023257294</v>
      </c>
      <c r="CE34" s="36">
        <f>'5f. Prevalence 6'!CD12</f>
        <v>0.55355983023257294</v>
      </c>
      <c r="CF34" s="36">
        <f>'5f. Prevalence 6'!CE12</f>
        <v>0.55355983023257294</v>
      </c>
      <c r="CG34" s="36">
        <f>'5f. Prevalence 6'!CF12</f>
        <v>0.55355983023257294</v>
      </c>
      <c r="CH34" s="36">
        <f>'5f. Prevalence 6'!CG12</f>
        <v>0.55355983023257294</v>
      </c>
      <c r="CI34" s="36">
        <f>'5f. Prevalence 6'!CH12</f>
        <v>0.55355983023257294</v>
      </c>
      <c r="CJ34" s="36">
        <f>'5f. Prevalence 6'!CI12</f>
        <v>0.54407202866401227</v>
      </c>
      <c r="CK34" s="36">
        <f t="shared" si="3"/>
        <v>0.54407202866401227</v>
      </c>
      <c r="CL34" s="36">
        <f t="shared" si="3"/>
        <v>0.54407202866401227</v>
      </c>
      <c r="CM34" s="36">
        <f t="shared" si="3"/>
        <v>0.54407202866401227</v>
      </c>
      <c r="CN34" s="36">
        <f t="shared" si="3"/>
        <v>0.54407202866401227</v>
      </c>
      <c r="CO34" s="36">
        <f t="shared" si="3"/>
        <v>0.54407202866401227</v>
      </c>
      <c r="CP34" s="36">
        <f t="shared" si="3"/>
        <v>0.54407202866401227</v>
      </c>
      <c r="CQ34" s="36">
        <f t="shared" si="3"/>
        <v>0.54407202866401227</v>
      </c>
      <c r="CR34" s="36">
        <f t="shared" si="3"/>
        <v>0.54407202866401227</v>
      </c>
      <c r="CS34" s="36">
        <f t="shared" si="3"/>
        <v>0.54407202866401227</v>
      </c>
      <c r="CT34" s="36">
        <f t="shared" si="3"/>
        <v>0.54407202866401227</v>
      </c>
      <c r="CU34" s="36">
        <f t="shared" si="3"/>
        <v>0.54407202866401227</v>
      </c>
      <c r="CV34" s="36">
        <f t="shared" si="3"/>
        <v>0.54407202866401227</v>
      </c>
      <c r="CW34" s="36">
        <f t="shared" si="3"/>
        <v>0.54407202866401227</v>
      </c>
      <c r="CX34" s="36">
        <f t="shared" si="3"/>
        <v>0.54407202866401227</v>
      </c>
      <c r="CY34" s="36">
        <f t="shared" si="3"/>
        <v>0.54407202866401227</v>
      </c>
    </row>
    <row r="35" spans="1:103" x14ac:dyDescent="0.45">
      <c r="A35" s="2" t="s">
        <v>164</v>
      </c>
      <c r="B35" s="2">
        <v>0</v>
      </c>
      <c r="C35" s="2">
        <f>'5f. Prevalence 6'!B13</f>
        <v>0</v>
      </c>
      <c r="D35" s="2">
        <f>'5f. Prevalence 6'!C13</f>
        <v>0</v>
      </c>
      <c r="E35" s="2">
        <f>'5f. Prevalence 6'!D13</f>
        <v>0</v>
      </c>
      <c r="F35" s="2">
        <f>'5f. Prevalence 6'!E13</f>
        <v>0</v>
      </c>
      <c r="G35" s="2">
        <f>'5f. Prevalence 6'!F13</f>
        <v>0</v>
      </c>
      <c r="H35" s="2">
        <f>'5f. Prevalence 6'!G13</f>
        <v>0</v>
      </c>
      <c r="I35" s="2">
        <f>'5f. Prevalence 6'!H13</f>
        <v>0</v>
      </c>
      <c r="J35" s="2">
        <f>'5f. Prevalence 6'!I13</f>
        <v>0</v>
      </c>
      <c r="K35" s="2">
        <f>'5f. Prevalence 6'!J13</f>
        <v>0</v>
      </c>
      <c r="L35" s="2">
        <f>'5f. Prevalence 6'!K13</f>
        <v>0</v>
      </c>
      <c r="M35" s="2">
        <f>'5f. Prevalence 6'!L13</f>
        <v>0</v>
      </c>
      <c r="N35" s="2">
        <f>'5f. Prevalence 6'!M13</f>
        <v>0</v>
      </c>
      <c r="O35" s="2">
        <f>'5f. Prevalence 6'!N13</f>
        <v>0</v>
      </c>
      <c r="P35" s="2">
        <f>'5f. Prevalence 6'!O13</f>
        <v>0</v>
      </c>
      <c r="Q35" s="2">
        <f>'5f. Prevalence 6'!P13</f>
        <v>0</v>
      </c>
      <c r="R35" s="2">
        <f>'5f. Prevalence 6'!Q13</f>
        <v>0</v>
      </c>
      <c r="S35" s="2">
        <f>'5f. Prevalence 6'!R13</f>
        <v>0</v>
      </c>
      <c r="T35" s="2">
        <f>'5f. Prevalence 6'!S13</f>
        <v>0</v>
      </c>
      <c r="U35" s="2">
        <f>'5f. Prevalence 6'!T13</f>
        <v>0</v>
      </c>
      <c r="V35" s="2">
        <f>'5f. Prevalence 6'!U13</f>
        <v>0</v>
      </c>
      <c r="W35" s="2">
        <f>'5f. Prevalence 6'!V13</f>
        <v>0</v>
      </c>
      <c r="X35" s="2">
        <f>'5f. Prevalence 6'!W13</f>
        <v>0</v>
      </c>
      <c r="Y35" s="2">
        <f>'5f. Prevalence 6'!X13</f>
        <v>0</v>
      </c>
      <c r="Z35" s="2">
        <f>'5f. Prevalence 6'!Y13</f>
        <v>0</v>
      </c>
      <c r="AA35" s="2">
        <f>'5f. Prevalence 6'!Z13</f>
        <v>0</v>
      </c>
      <c r="AB35" s="2">
        <f>'5f. Prevalence 6'!AA13</f>
        <v>0</v>
      </c>
      <c r="AC35" s="2">
        <f>'5f. Prevalence 6'!AB13</f>
        <v>0</v>
      </c>
      <c r="AD35" s="2">
        <f>'5f. Prevalence 6'!AC13</f>
        <v>0</v>
      </c>
      <c r="AE35" s="2">
        <f>'5f. Prevalence 6'!AD13</f>
        <v>0</v>
      </c>
      <c r="AF35" s="2">
        <f>'5f. Prevalence 6'!AE13</f>
        <v>0</v>
      </c>
      <c r="AG35" s="2">
        <f>'5f. Prevalence 6'!AF13</f>
        <v>0</v>
      </c>
      <c r="AH35" s="2">
        <f>'5f. Prevalence 6'!AG13</f>
        <v>0</v>
      </c>
      <c r="AI35" s="2">
        <f>'5f. Prevalence 6'!AH13</f>
        <v>0</v>
      </c>
      <c r="AJ35" s="2">
        <f>'5f. Prevalence 6'!AI13</f>
        <v>0</v>
      </c>
      <c r="AK35" s="2">
        <f>'5f. Prevalence 6'!AJ13</f>
        <v>0</v>
      </c>
      <c r="AL35" s="2">
        <f>'5f. Prevalence 6'!AK13</f>
        <v>0</v>
      </c>
      <c r="AM35" s="2">
        <f>'5f. Prevalence 6'!AL13</f>
        <v>0</v>
      </c>
      <c r="AN35" s="2">
        <f>'5f. Prevalence 6'!AM13</f>
        <v>0</v>
      </c>
      <c r="AO35" s="2">
        <f>'5f. Prevalence 6'!AN13</f>
        <v>0</v>
      </c>
      <c r="AP35" s="2">
        <f>'5f. Prevalence 6'!AO13</f>
        <v>0</v>
      </c>
      <c r="AQ35" s="2">
        <f>'5f. Prevalence 6'!AP13</f>
        <v>0</v>
      </c>
      <c r="AR35" s="2">
        <f>'5f. Prevalence 6'!AQ13</f>
        <v>0</v>
      </c>
      <c r="AS35" s="2">
        <f>'5f. Prevalence 6'!AR13</f>
        <v>0</v>
      </c>
      <c r="AT35" s="2">
        <f>'5f. Prevalence 6'!AS13</f>
        <v>0</v>
      </c>
      <c r="AU35" s="2">
        <f>'5f. Prevalence 6'!AT13</f>
        <v>0</v>
      </c>
      <c r="AV35" s="2">
        <f>'5f. Prevalence 6'!AU13</f>
        <v>0</v>
      </c>
      <c r="AW35" s="2">
        <f>'5f. Prevalence 6'!AV13</f>
        <v>0</v>
      </c>
      <c r="AX35" s="2">
        <f>'5f. Prevalence 6'!AW13</f>
        <v>0</v>
      </c>
      <c r="AY35" s="2">
        <f>'5f. Prevalence 6'!AX13</f>
        <v>0</v>
      </c>
      <c r="AZ35" s="2">
        <f>'5f. Prevalence 6'!AY13</f>
        <v>0</v>
      </c>
      <c r="BA35" s="2">
        <f>'5f. Prevalence 6'!AZ13</f>
        <v>4.6859594352090223E-2</v>
      </c>
      <c r="BB35" s="2">
        <f>'5f. Prevalence 6'!BA13</f>
        <v>9.3719188704180445E-2</v>
      </c>
      <c r="BC35" s="2">
        <f>'5f. Prevalence 6'!BB13</f>
        <v>0.14057878305627067</v>
      </c>
      <c r="BD35" s="2">
        <f>'5f. Prevalence 6'!BC13</f>
        <v>0.18743837740836089</v>
      </c>
      <c r="BE35" s="2">
        <f>'5f. Prevalence 6'!BD13</f>
        <v>0.23429797176045114</v>
      </c>
      <c r="BF35" s="2">
        <f>'5f. Prevalence 6'!BE13</f>
        <v>0.28115756611254134</v>
      </c>
      <c r="BG35" s="2">
        <f>'5f. Prevalence 6'!BF13</f>
        <v>0.32801716046463159</v>
      </c>
      <c r="BH35" s="2">
        <f>'5f. Prevalence 6'!BG13</f>
        <v>0.37487675481672178</v>
      </c>
      <c r="BI35" s="2">
        <f>'5f. Prevalence 6'!BH13</f>
        <v>0.42173634916881203</v>
      </c>
      <c r="BJ35" s="2">
        <f>'5f. Prevalence 6'!BI13</f>
        <v>0.46859594352090228</v>
      </c>
      <c r="BK35" s="36">
        <f>'5f. Prevalence 6'!BJ13</f>
        <v>0.51545553787299248</v>
      </c>
      <c r="BL35" s="36">
        <f>'5f. Prevalence 6'!BK13</f>
        <v>0.51545553787299248</v>
      </c>
      <c r="BM35" s="36">
        <f>'5f. Prevalence 6'!BL13</f>
        <v>0.51545553787299248</v>
      </c>
      <c r="BN35" s="36">
        <f>'5f. Prevalence 6'!BM13</f>
        <v>0.51545553787299248</v>
      </c>
      <c r="BO35" s="36">
        <f>'5f. Prevalence 6'!BN13</f>
        <v>0.51545553787299248</v>
      </c>
      <c r="BP35" s="36">
        <f>'5f. Prevalence 6'!BO13</f>
        <v>0.51545553787299248</v>
      </c>
      <c r="BQ35" s="36">
        <f>'5f. Prevalence 6'!BP13</f>
        <v>0.51545553787299248</v>
      </c>
      <c r="BR35" s="36">
        <f>'5f. Prevalence 6'!BQ13</f>
        <v>0.51545553787299248</v>
      </c>
      <c r="BS35" s="36">
        <f>'5f. Prevalence 6'!BR13</f>
        <v>0.51545553787299248</v>
      </c>
      <c r="BT35" s="36">
        <f>'5f. Prevalence 6'!BS13</f>
        <v>0.51545553787299248</v>
      </c>
      <c r="BU35" s="36">
        <f>'5f. Prevalence 6'!BT13</f>
        <v>0.51545553787299248</v>
      </c>
      <c r="BV35" s="36">
        <f>'5f. Prevalence 6'!BU13</f>
        <v>0.51545553787299248</v>
      </c>
      <c r="BW35" s="36">
        <f>'5f. Prevalence 6'!BV13</f>
        <v>0.51545553787299248</v>
      </c>
      <c r="BX35" s="36">
        <f>'5f. Prevalence 6'!BW13</f>
        <v>0.51545553787299248</v>
      </c>
      <c r="BY35" s="36">
        <f>'5f. Prevalence 6'!BX13</f>
        <v>0.51545553787299248</v>
      </c>
      <c r="BZ35" s="36">
        <f>'5f. Prevalence 6'!BY13</f>
        <v>0.61469593856979843</v>
      </c>
      <c r="CA35" s="36">
        <f>'5f. Prevalence 6'!BZ13</f>
        <v>0.61469593856979843</v>
      </c>
      <c r="CB35" s="36">
        <f>'5f. Prevalence 6'!CA13</f>
        <v>0.61469593856979843</v>
      </c>
      <c r="CC35" s="36">
        <f>'5f. Prevalence 6'!CB13</f>
        <v>0.61469593856979843</v>
      </c>
      <c r="CD35" s="36">
        <f>'5f. Prevalence 6'!CC13</f>
        <v>0.61469593856979843</v>
      </c>
      <c r="CE35" s="36">
        <f>'5f. Prevalence 6'!CD13</f>
        <v>0.61469593856979843</v>
      </c>
      <c r="CF35" s="36">
        <f>'5f. Prevalence 6'!CE13</f>
        <v>0.61469593856979843</v>
      </c>
      <c r="CG35" s="36">
        <f>'5f. Prevalence 6'!CF13</f>
        <v>0.61469593856979843</v>
      </c>
      <c r="CH35" s="36">
        <f>'5f. Prevalence 6'!CG13</f>
        <v>0.61469593856979843</v>
      </c>
      <c r="CI35" s="36">
        <f>'5f. Prevalence 6'!CH13</f>
        <v>0.61469593856979843</v>
      </c>
      <c r="CJ35" s="36">
        <f>'5f. Prevalence 6'!CI13</f>
        <v>0.59055860616216849</v>
      </c>
      <c r="CK35" s="36">
        <f t="shared" si="3"/>
        <v>0.59055860616216849</v>
      </c>
      <c r="CL35" s="36">
        <f t="shared" si="3"/>
        <v>0.59055860616216849</v>
      </c>
      <c r="CM35" s="36">
        <f t="shared" si="3"/>
        <v>0.59055860616216849</v>
      </c>
      <c r="CN35" s="36">
        <f t="shared" si="3"/>
        <v>0.59055860616216849</v>
      </c>
      <c r="CO35" s="36">
        <f t="shared" si="3"/>
        <v>0.59055860616216849</v>
      </c>
      <c r="CP35" s="36">
        <f t="shared" si="3"/>
        <v>0.59055860616216849</v>
      </c>
      <c r="CQ35" s="36">
        <f t="shared" si="3"/>
        <v>0.59055860616216849</v>
      </c>
      <c r="CR35" s="36">
        <f t="shared" si="3"/>
        <v>0.59055860616216849</v>
      </c>
      <c r="CS35" s="36">
        <f t="shared" si="3"/>
        <v>0.59055860616216849</v>
      </c>
      <c r="CT35" s="36">
        <f t="shared" si="3"/>
        <v>0.59055860616216849</v>
      </c>
      <c r="CU35" s="36">
        <f t="shared" si="3"/>
        <v>0.59055860616216849</v>
      </c>
      <c r="CV35" s="36">
        <f t="shared" si="3"/>
        <v>0.59055860616216849</v>
      </c>
      <c r="CW35" s="36">
        <f t="shared" si="3"/>
        <v>0.59055860616216849</v>
      </c>
      <c r="CX35" s="36">
        <f t="shared" si="3"/>
        <v>0.59055860616216849</v>
      </c>
      <c r="CY35" s="36">
        <f t="shared" si="3"/>
        <v>0.59055860616216849</v>
      </c>
    </row>
    <row r="36" spans="1:103" x14ac:dyDescent="0.45">
      <c r="A36" s="2" t="s">
        <v>165</v>
      </c>
      <c r="B36" s="2">
        <v>0</v>
      </c>
      <c r="C36" s="2">
        <f>'5f. Prevalence 6'!B14</f>
        <v>0</v>
      </c>
      <c r="D36" s="2">
        <f>'5f. Prevalence 6'!C14</f>
        <v>0</v>
      </c>
      <c r="E36" s="2">
        <f>'5f. Prevalence 6'!D14</f>
        <v>0</v>
      </c>
      <c r="F36" s="2">
        <f>'5f. Prevalence 6'!E14</f>
        <v>0</v>
      </c>
      <c r="G36" s="2">
        <f>'5f. Prevalence 6'!F14</f>
        <v>0</v>
      </c>
      <c r="H36" s="2">
        <f>'5f. Prevalence 6'!G14</f>
        <v>0</v>
      </c>
      <c r="I36" s="2">
        <f>'5f. Prevalence 6'!H14</f>
        <v>0</v>
      </c>
      <c r="J36" s="2">
        <f>'5f. Prevalence 6'!I14</f>
        <v>0</v>
      </c>
      <c r="K36" s="2">
        <f>'5f. Prevalence 6'!J14</f>
        <v>0</v>
      </c>
      <c r="L36" s="2">
        <f>'5f. Prevalence 6'!K14</f>
        <v>0</v>
      </c>
      <c r="M36" s="2">
        <f>'5f. Prevalence 6'!L14</f>
        <v>0</v>
      </c>
      <c r="N36" s="2">
        <f>'5f. Prevalence 6'!M14</f>
        <v>0</v>
      </c>
      <c r="O36" s="2">
        <f>'5f. Prevalence 6'!N14</f>
        <v>0</v>
      </c>
      <c r="P36" s="2">
        <f>'5f. Prevalence 6'!O14</f>
        <v>0</v>
      </c>
      <c r="Q36" s="2">
        <f>'5f. Prevalence 6'!P14</f>
        <v>0</v>
      </c>
      <c r="R36" s="2">
        <f>'5f. Prevalence 6'!Q14</f>
        <v>0</v>
      </c>
      <c r="S36" s="2">
        <f>'5f. Prevalence 6'!R14</f>
        <v>0</v>
      </c>
      <c r="T36" s="2">
        <f>'5f. Prevalence 6'!S14</f>
        <v>0</v>
      </c>
      <c r="U36" s="2">
        <f>'5f. Prevalence 6'!T14</f>
        <v>0</v>
      </c>
      <c r="V36" s="2">
        <f>'5f. Prevalence 6'!U14</f>
        <v>0</v>
      </c>
      <c r="W36" s="2">
        <f>'5f. Prevalence 6'!V14</f>
        <v>0</v>
      </c>
      <c r="X36" s="2">
        <f>'5f. Prevalence 6'!W14</f>
        <v>0</v>
      </c>
      <c r="Y36" s="2">
        <f>'5f. Prevalence 6'!X14</f>
        <v>0</v>
      </c>
      <c r="Z36" s="2">
        <f>'5f. Prevalence 6'!Y14</f>
        <v>0</v>
      </c>
      <c r="AA36" s="2">
        <f>'5f. Prevalence 6'!Z14</f>
        <v>0</v>
      </c>
      <c r="AB36" s="2">
        <f>'5f. Prevalence 6'!AA14</f>
        <v>0</v>
      </c>
      <c r="AC36" s="2">
        <f>'5f. Prevalence 6'!AB14</f>
        <v>0</v>
      </c>
      <c r="AD36" s="2">
        <f>'5f. Prevalence 6'!AC14</f>
        <v>0</v>
      </c>
      <c r="AE36" s="2">
        <f>'5f. Prevalence 6'!AD14</f>
        <v>0</v>
      </c>
      <c r="AF36" s="2">
        <f>'5f. Prevalence 6'!AE14</f>
        <v>0</v>
      </c>
      <c r="AG36" s="2">
        <f>'5f. Prevalence 6'!AF14</f>
        <v>0</v>
      </c>
      <c r="AH36" s="2">
        <f>'5f. Prevalence 6'!AG14</f>
        <v>0</v>
      </c>
      <c r="AI36" s="2">
        <f>'5f. Prevalence 6'!AH14</f>
        <v>0</v>
      </c>
      <c r="AJ36" s="2">
        <f>'5f. Prevalence 6'!AI14</f>
        <v>0</v>
      </c>
      <c r="AK36" s="2">
        <f>'5f. Prevalence 6'!AJ14</f>
        <v>0</v>
      </c>
      <c r="AL36" s="2">
        <f>'5f. Prevalence 6'!AK14</f>
        <v>0</v>
      </c>
      <c r="AM36" s="2">
        <f>'5f. Prevalence 6'!AL14</f>
        <v>0</v>
      </c>
      <c r="AN36" s="2">
        <f>'5f. Prevalence 6'!AM14</f>
        <v>0</v>
      </c>
      <c r="AO36" s="2">
        <f>'5f. Prevalence 6'!AN14</f>
        <v>0</v>
      </c>
      <c r="AP36" s="2">
        <f>'5f. Prevalence 6'!AO14</f>
        <v>0</v>
      </c>
      <c r="AQ36" s="2">
        <f>'5f. Prevalence 6'!AP14</f>
        <v>0</v>
      </c>
      <c r="AR36" s="2">
        <f>'5f. Prevalence 6'!AQ14</f>
        <v>0</v>
      </c>
      <c r="AS36" s="2">
        <f>'5f. Prevalence 6'!AR14</f>
        <v>0</v>
      </c>
      <c r="AT36" s="2">
        <f>'5f. Prevalence 6'!AS14</f>
        <v>0</v>
      </c>
      <c r="AU36" s="2">
        <f>'5f. Prevalence 6'!AT14</f>
        <v>0</v>
      </c>
      <c r="AV36" s="2">
        <f>'5f. Prevalence 6'!AU14</f>
        <v>0</v>
      </c>
      <c r="AW36" s="2">
        <f>'5f. Prevalence 6'!AV14</f>
        <v>0</v>
      </c>
      <c r="AX36" s="2">
        <f>'5f. Prevalence 6'!AW14</f>
        <v>0</v>
      </c>
      <c r="AY36" s="2">
        <f>'5f. Prevalence 6'!AX14</f>
        <v>0</v>
      </c>
      <c r="AZ36" s="2">
        <f>'5f. Prevalence 6'!AY14</f>
        <v>0</v>
      </c>
      <c r="BA36" s="2">
        <f>'5f. Prevalence 6'!AZ14</f>
        <v>3.6234686568750035E-2</v>
      </c>
      <c r="BB36" s="2">
        <f>'5f. Prevalence 6'!BA14</f>
        <v>7.246937313750007E-2</v>
      </c>
      <c r="BC36" s="2">
        <f>'5f. Prevalence 6'!BB14</f>
        <v>0.10870405970625012</v>
      </c>
      <c r="BD36" s="2">
        <f>'5f. Prevalence 6'!BC14</f>
        <v>0.14493874627500014</v>
      </c>
      <c r="BE36" s="2">
        <f>'5f. Prevalence 6'!BD14</f>
        <v>0.18117343284375018</v>
      </c>
      <c r="BF36" s="2">
        <f>'5f. Prevalence 6'!BE14</f>
        <v>0.21740811941250024</v>
      </c>
      <c r="BG36" s="2">
        <f>'5f. Prevalence 6'!BF14</f>
        <v>0.25364280598125027</v>
      </c>
      <c r="BH36" s="2">
        <f>'5f. Prevalence 6'!BG14</f>
        <v>0.28987749255000028</v>
      </c>
      <c r="BI36" s="2">
        <f>'5f. Prevalence 6'!BH14</f>
        <v>0.32611217911875034</v>
      </c>
      <c r="BJ36" s="2">
        <f>'5f. Prevalence 6'!BI14</f>
        <v>0.36234686568750035</v>
      </c>
      <c r="BK36" s="36">
        <f>'5f. Prevalence 6'!BJ14</f>
        <v>0.39858155225625042</v>
      </c>
      <c r="BL36" s="36">
        <f>'5f. Prevalence 6'!BK14</f>
        <v>0.39858155225625042</v>
      </c>
      <c r="BM36" s="36">
        <f>'5f. Prevalence 6'!BL14</f>
        <v>0.39858155225625042</v>
      </c>
      <c r="BN36" s="36">
        <f>'5f. Prevalence 6'!BM14</f>
        <v>0.39858155225625042</v>
      </c>
      <c r="BO36" s="36">
        <f>'5f. Prevalence 6'!BN14</f>
        <v>0.39858155225625042</v>
      </c>
      <c r="BP36" s="36">
        <f>'5f. Prevalence 6'!BO14</f>
        <v>0.39858155225625042</v>
      </c>
      <c r="BQ36" s="36">
        <f>'5f. Prevalence 6'!BP14</f>
        <v>0.39858155225625042</v>
      </c>
      <c r="BR36" s="36">
        <f>'5f. Prevalence 6'!BQ14</f>
        <v>0.39858155225625042</v>
      </c>
      <c r="BS36" s="36">
        <f>'5f. Prevalence 6'!BR14</f>
        <v>0.39858155225625042</v>
      </c>
      <c r="BT36" s="36">
        <f>'5f. Prevalence 6'!BS14</f>
        <v>0.39858155225625042</v>
      </c>
      <c r="BU36" s="36">
        <f>'5f. Prevalence 6'!BT14</f>
        <v>0.39858155225625042</v>
      </c>
      <c r="BV36" s="36">
        <f>'5f. Prevalence 6'!BU14</f>
        <v>0.39858155225625042</v>
      </c>
      <c r="BW36" s="36">
        <f>'5f. Prevalence 6'!BV14</f>
        <v>0.39858155225625042</v>
      </c>
      <c r="BX36" s="36">
        <f>'5f. Prevalence 6'!BW14</f>
        <v>0.39858155225625042</v>
      </c>
      <c r="BY36" s="36">
        <f>'5f. Prevalence 6'!BX14</f>
        <v>0.39858155225625042</v>
      </c>
      <c r="BZ36" s="36">
        <f>'5f. Prevalence 6'!BY14</f>
        <v>0.51371811656459432</v>
      </c>
      <c r="CA36" s="36">
        <f>'5f. Prevalence 6'!BZ14</f>
        <v>0.51371811656459432</v>
      </c>
      <c r="CB36" s="36">
        <f>'5f. Prevalence 6'!CA14</f>
        <v>0.51371811656459432</v>
      </c>
      <c r="CC36" s="36">
        <f>'5f. Prevalence 6'!CB14</f>
        <v>0.51371811656459432</v>
      </c>
      <c r="CD36" s="36">
        <f>'5f. Prevalence 6'!CC14</f>
        <v>0.51371811656459432</v>
      </c>
      <c r="CE36" s="36">
        <f>'5f. Prevalence 6'!CD14</f>
        <v>0.51371811656459432</v>
      </c>
      <c r="CF36" s="36">
        <f>'5f. Prevalence 6'!CE14</f>
        <v>0.51371811656459432</v>
      </c>
      <c r="CG36" s="36">
        <f>'5f. Prevalence 6'!CF14</f>
        <v>0.51371811656459432</v>
      </c>
      <c r="CH36" s="36">
        <f>'5f. Prevalence 6'!CG14</f>
        <v>0.51371811656459432</v>
      </c>
      <c r="CI36" s="36">
        <f>'5f. Prevalence 6'!CH14</f>
        <v>0.51371811656459432</v>
      </c>
      <c r="CJ36" s="36">
        <f>'5f. Prevalence 6'!CI14</f>
        <v>0.51265225110228596</v>
      </c>
      <c r="CK36" s="36">
        <f t="shared" si="3"/>
        <v>0.51265225110228596</v>
      </c>
      <c r="CL36" s="36">
        <f t="shared" si="3"/>
        <v>0.51265225110228596</v>
      </c>
      <c r="CM36" s="36">
        <f t="shared" si="3"/>
        <v>0.51265225110228596</v>
      </c>
      <c r="CN36" s="36">
        <f t="shared" si="3"/>
        <v>0.51265225110228596</v>
      </c>
      <c r="CO36" s="36">
        <f t="shared" si="3"/>
        <v>0.51265225110228596</v>
      </c>
      <c r="CP36" s="36">
        <f t="shared" si="3"/>
        <v>0.51265225110228596</v>
      </c>
      <c r="CQ36" s="36">
        <f t="shared" si="3"/>
        <v>0.51265225110228596</v>
      </c>
      <c r="CR36" s="36">
        <f t="shared" si="3"/>
        <v>0.51265225110228596</v>
      </c>
      <c r="CS36" s="36">
        <f t="shared" si="3"/>
        <v>0.51265225110228596</v>
      </c>
      <c r="CT36" s="36">
        <f t="shared" si="3"/>
        <v>0.51265225110228596</v>
      </c>
      <c r="CU36" s="36">
        <f t="shared" si="3"/>
        <v>0.51265225110228596</v>
      </c>
      <c r="CV36" s="36">
        <f t="shared" si="3"/>
        <v>0.51265225110228596</v>
      </c>
      <c r="CW36" s="36">
        <f t="shared" si="3"/>
        <v>0.51265225110228596</v>
      </c>
      <c r="CX36" s="36">
        <f t="shared" si="3"/>
        <v>0.51265225110228596</v>
      </c>
      <c r="CY36" s="36">
        <f t="shared" si="3"/>
        <v>0.51265225110228596</v>
      </c>
    </row>
    <row r="37" spans="1:103" x14ac:dyDescent="0.45">
      <c r="A37" s="2" t="s">
        <v>166</v>
      </c>
      <c r="B37" s="2">
        <v>0</v>
      </c>
      <c r="C37" s="2">
        <f>'5f. Prevalence 6'!B15</f>
        <v>0</v>
      </c>
      <c r="D37" s="2">
        <f>'5f. Prevalence 6'!C15</f>
        <v>0</v>
      </c>
      <c r="E37" s="2">
        <f>'5f. Prevalence 6'!D15</f>
        <v>0</v>
      </c>
      <c r="F37" s="2">
        <f>'5f. Prevalence 6'!E15</f>
        <v>0</v>
      </c>
      <c r="G37" s="2">
        <f>'5f. Prevalence 6'!F15</f>
        <v>0</v>
      </c>
      <c r="H37" s="2">
        <f>'5f. Prevalence 6'!G15</f>
        <v>0</v>
      </c>
      <c r="I37" s="2">
        <f>'5f. Prevalence 6'!H15</f>
        <v>0</v>
      </c>
      <c r="J37" s="2">
        <f>'5f. Prevalence 6'!I15</f>
        <v>0</v>
      </c>
      <c r="K37" s="2">
        <f>'5f. Prevalence 6'!J15</f>
        <v>0</v>
      </c>
      <c r="L37" s="2">
        <f>'5f. Prevalence 6'!K15</f>
        <v>0</v>
      </c>
      <c r="M37" s="2">
        <f>'5f. Prevalence 6'!L15</f>
        <v>0</v>
      </c>
      <c r="N37" s="2">
        <f>'5f. Prevalence 6'!M15</f>
        <v>0</v>
      </c>
      <c r="O37" s="2">
        <f>'5f. Prevalence 6'!N15</f>
        <v>0</v>
      </c>
      <c r="P37" s="2">
        <f>'5f. Prevalence 6'!O15</f>
        <v>0</v>
      </c>
      <c r="Q37" s="2">
        <f>'5f. Prevalence 6'!P15</f>
        <v>0</v>
      </c>
      <c r="R37" s="2">
        <f>'5f. Prevalence 6'!Q15</f>
        <v>0</v>
      </c>
      <c r="S37" s="2">
        <f>'5f. Prevalence 6'!R15</f>
        <v>0</v>
      </c>
      <c r="T37" s="2">
        <f>'5f. Prevalence 6'!S15</f>
        <v>0</v>
      </c>
      <c r="U37" s="2">
        <f>'5f. Prevalence 6'!T15</f>
        <v>0</v>
      </c>
      <c r="V37" s="2">
        <f>'5f. Prevalence 6'!U15</f>
        <v>0</v>
      </c>
      <c r="W37" s="2">
        <f>'5f. Prevalence 6'!V15</f>
        <v>0</v>
      </c>
      <c r="X37" s="2">
        <f>'5f. Prevalence 6'!W15</f>
        <v>0</v>
      </c>
      <c r="Y37" s="2">
        <f>'5f. Prevalence 6'!X15</f>
        <v>0</v>
      </c>
      <c r="Z37" s="2">
        <f>'5f. Prevalence 6'!Y15</f>
        <v>0</v>
      </c>
      <c r="AA37" s="2">
        <f>'5f. Prevalence 6'!Z15</f>
        <v>0</v>
      </c>
      <c r="AB37" s="2">
        <f>'5f. Prevalence 6'!AA15</f>
        <v>0</v>
      </c>
      <c r="AC37" s="2">
        <f>'5f. Prevalence 6'!AB15</f>
        <v>0</v>
      </c>
      <c r="AD37" s="2">
        <f>'5f. Prevalence 6'!AC15</f>
        <v>0</v>
      </c>
      <c r="AE37" s="2">
        <f>'5f. Prevalence 6'!AD15</f>
        <v>0</v>
      </c>
      <c r="AF37" s="2">
        <f>'5f. Prevalence 6'!AE15</f>
        <v>0</v>
      </c>
      <c r="AG37" s="2">
        <f>'5f. Prevalence 6'!AF15</f>
        <v>0</v>
      </c>
      <c r="AH37" s="2">
        <f>'5f. Prevalence 6'!AG15</f>
        <v>0</v>
      </c>
      <c r="AI37" s="2">
        <f>'5f. Prevalence 6'!AH15</f>
        <v>0</v>
      </c>
      <c r="AJ37" s="2">
        <f>'5f. Prevalence 6'!AI15</f>
        <v>0</v>
      </c>
      <c r="AK37" s="2">
        <f>'5f. Prevalence 6'!AJ15</f>
        <v>0</v>
      </c>
      <c r="AL37" s="2">
        <f>'5f. Prevalence 6'!AK15</f>
        <v>0</v>
      </c>
      <c r="AM37" s="2">
        <f>'5f. Prevalence 6'!AL15</f>
        <v>0</v>
      </c>
      <c r="AN37" s="2">
        <f>'5f. Prevalence 6'!AM15</f>
        <v>0</v>
      </c>
      <c r="AO37" s="2">
        <f>'5f. Prevalence 6'!AN15</f>
        <v>0</v>
      </c>
      <c r="AP37" s="2">
        <f>'5f. Prevalence 6'!AO15</f>
        <v>0</v>
      </c>
      <c r="AQ37" s="2">
        <f>'5f. Prevalence 6'!AP15</f>
        <v>0</v>
      </c>
      <c r="AR37" s="2">
        <f>'5f. Prevalence 6'!AQ15</f>
        <v>0</v>
      </c>
      <c r="AS37" s="2">
        <f>'5f. Prevalence 6'!AR15</f>
        <v>0</v>
      </c>
      <c r="AT37" s="2">
        <f>'5f. Prevalence 6'!AS15</f>
        <v>0</v>
      </c>
      <c r="AU37" s="2">
        <f>'5f. Prevalence 6'!AT15</f>
        <v>0</v>
      </c>
      <c r="AV37" s="2">
        <f>'5f. Prevalence 6'!AU15</f>
        <v>0</v>
      </c>
      <c r="AW37" s="2">
        <f>'5f. Prevalence 6'!AV15</f>
        <v>0</v>
      </c>
      <c r="AX37" s="2">
        <f>'5f. Prevalence 6'!AW15</f>
        <v>0</v>
      </c>
      <c r="AY37" s="2">
        <f>'5f. Prevalence 6'!AX15</f>
        <v>0</v>
      </c>
      <c r="AZ37" s="2">
        <f>'5f. Prevalence 6'!AY15</f>
        <v>0</v>
      </c>
      <c r="BA37" s="2">
        <f>'5f. Prevalence 6'!AZ15</f>
        <v>4.2789582736537053E-2</v>
      </c>
      <c r="BB37" s="2">
        <f>'5f. Prevalence 6'!BA15</f>
        <v>8.5579165473074106E-2</v>
      </c>
      <c r="BC37" s="2">
        <f>'5f. Prevalence 6'!BB15</f>
        <v>0.12836874820961117</v>
      </c>
      <c r="BD37" s="2">
        <f>'5f. Prevalence 6'!BC15</f>
        <v>0.17115833094614821</v>
      </c>
      <c r="BE37" s="2">
        <f>'5f. Prevalence 6'!BD15</f>
        <v>0.21394791368268529</v>
      </c>
      <c r="BF37" s="2">
        <f>'5f. Prevalence 6'!BE15</f>
        <v>0.25673749641922233</v>
      </c>
      <c r="BG37" s="2">
        <f>'5f. Prevalence 6'!BF15</f>
        <v>0.29952707915575938</v>
      </c>
      <c r="BH37" s="2">
        <f>'5f. Prevalence 6'!BG15</f>
        <v>0.34231666189229643</v>
      </c>
      <c r="BI37" s="2">
        <f>'5f. Prevalence 6'!BH15</f>
        <v>0.38510624462883353</v>
      </c>
      <c r="BJ37" s="2">
        <f>'5f. Prevalence 6'!BI15</f>
        <v>0.42789582736537057</v>
      </c>
      <c r="BK37" s="36">
        <f>'5f. Prevalence 6'!BJ15</f>
        <v>0.47068541010190762</v>
      </c>
      <c r="BL37" s="36">
        <f>'5f. Prevalence 6'!BK15</f>
        <v>0.47068541010190762</v>
      </c>
      <c r="BM37" s="36">
        <f>'5f. Prevalence 6'!BL15</f>
        <v>0.47068541010190762</v>
      </c>
      <c r="BN37" s="36">
        <f>'5f. Prevalence 6'!BM15</f>
        <v>0.47068541010190762</v>
      </c>
      <c r="BO37" s="36">
        <f>'5f. Prevalence 6'!BN15</f>
        <v>0.47068541010190762</v>
      </c>
      <c r="BP37" s="36">
        <f>'5f. Prevalence 6'!BO15</f>
        <v>0.47068541010190762</v>
      </c>
      <c r="BQ37" s="36">
        <f>'5f. Prevalence 6'!BP15</f>
        <v>0.47068541010190762</v>
      </c>
      <c r="BR37" s="36">
        <f>'5f. Prevalence 6'!BQ15</f>
        <v>0.47068541010190762</v>
      </c>
      <c r="BS37" s="36">
        <f>'5f. Prevalence 6'!BR15</f>
        <v>0.47068541010190762</v>
      </c>
      <c r="BT37" s="36">
        <f>'5f. Prevalence 6'!BS15</f>
        <v>0.47068541010190762</v>
      </c>
      <c r="BU37" s="36">
        <f>'5f. Prevalence 6'!BT15</f>
        <v>0.47068541010190762</v>
      </c>
      <c r="BV37" s="36">
        <f>'5f. Prevalence 6'!BU15</f>
        <v>0.47068541010190762</v>
      </c>
      <c r="BW37" s="36">
        <f>'5f. Prevalence 6'!BV15</f>
        <v>0.47068541010190762</v>
      </c>
      <c r="BX37" s="36">
        <f>'5f. Prevalence 6'!BW15</f>
        <v>0.47068541010190762</v>
      </c>
      <c r="BY37" s="36">
        <f>'5f. Prevalence 6'!BX15</f>
        <v>0.47068541010190762</v>
      </c>
      <c r="BZ37" s="36">
        <f>'5f. Prevalence 6'!BY15</f>
        <v>0.57709494464758493</v>
      </c>
      <c r="CA37" s="36">
        <f>'5f. Prevalence 6'!BZ15</f>
        <v>0.57709494464758493</v>
      </c>
      <c r="CB37" s="36">
        <f>'5f. Prevalence 6'!CA15</f>
        <v>0.57709494464758493</v>
      </c>
      <c r="CC37" s="36">
        <f>'5f. Prevalence 6'!CB15</f>
        <v>0.57709494464758493</v>
      </c>
      <c r="CD37" s="36">
        <f>'5f. Prevalence 6'!CC15</f>
        <v>0.57709494464758493</v>
      </c>
      <c r="CE37" s="36">
        <f>'5f. Prevalence 6'!CD15</f>
        <v>0.57709494464758493</v>
      </c>
      <c r="CF37" s="36">
        <f>'5f. Prevalence 6'!CE15</f>
        <v>0.57709494464758493</v>
      </c>
      <c r="CG37" s="36">
        <f>'5f. Prevalence 6'!CF15</f>
        <v>0.57709494464758493</v>
      </c>
      <c r="CH37" s="36">
        <f>'5f. Prevalence 6'!CG15</f>
        <v>0.57709494464758493</v>
      </c>
      <c r="CI37" s="36">
        <f>'5f. Prevalence 6'!CH15</f>
        <v>0.57709494464758493</v>
      </c>
      <c r="CJ37" s="36">
        <f>'5f. Prevalence 6'!CI15</f>
        <v>0.56086394052742994</v>
      </c>
      <c r="CK37" s="36">
        <f t="shared" si="3"/>
        <v>0.56086394052742994</v>
      </c>
      <c r="CL37" s="36">
        <f t="shared" si="3"/>
        <v>0.56086394052742994</v>
      </c>
      <c r="CM37" s="36">
        <f t="shared" si="3"/>
        <v>0.56086394052742994</v>
      </c>
      <c r="CN37" s="36">
        <f t="shared" si="3"/>
        <v>0.56086394052742994</v>
      </c>
      <c r="CO37" s="36">
        <f t="shared" si="3"/>
        <v>0.56086394052742994</v>
      </c>
      <c r="CP37" s="36">
        <f t="shared" si="3"/>
        <v>0.56086394052742994</v>
      </c>
      <c r="CQ37" s="36">
        <f t="shared" si="3"/>
        <v>0.56086394052742994</v>
      </c>
      <c r="CR37" s="36">
        <f t="shared" si="3"/>
        <v>0.56086394052742994</v>
      </c>
      <c r="CS37" s="36">
        <f t="shared" si="3"/>
        <v>0.56086394052742994</v>
      </c>
      <c r="CT37" s="36">
        <f t="shared" si="3"/>
        <v>0.56086394052742994</v>
      </c>
      <c r="CU37" s="36">
        <f t="shared" si="3"/>
        <v>0.56086394052742994</v>
      </c>
      <c r="CV37" s="36">
        <f t="shared" si="3"/>
        <v>0.56086394052742994</v>
      </c>
      <c r="CW37" s="36">
        <f t="shared" si="3"/>
        <v>0.56086394052742994</v>
      </c>
      <c r="CX37" s="36">
        <f t="shared" si="3"/>
        <v>0.56086394052742994</v>
      </c>
      <c r="CY37" s="36">
        <f t="shared" si="3"/>
        <v>0.56086394052742994</v>
      </c>
    </row>
    <row r="38" spans="1:103" x14ac:dyDescent="0.45">
      <c r="A38" s="2" t="s">
        <v>167</v>
      </c>
      <c r="B38" s="2">
        <v>0</v>
      </c>
      <c r="C38" s="2">
        <f>'5f. Prevalence 6'!B16</f>
        <v>0</v>
      </c>
      <c r="D38" s="2">
        <f>'5f. Prevalence 6'!C16</f>
        <v>0</v>
      </c>
      <c r="E38" s="2">
        <f>'5f. Prevalence 6'!D16</f>
        <v>0</v>
      </c>
      <c r="F38" s="2">
        <f>'5f. Prevalence 6'!E16</f>
        <v>0</v>
      </c>
      <c r="G38" s="2">
        <f>'5f. Prevalence 6'!F16</f>
        <v>0</v>
      </c>
      <c r="H38" s="2">
        <f>'5f. Prevalence 6'!G16</f>
        <v>0</v>
      </c>
      <c r="I38" s="2">
        <f>'5f. Prevalence 6'!H16</f>
        <v>0</v>
      </c>
      <c r="J38" s="2">
        <f>'5f. Prevalence 6'!I16</f>
        <v>0</v>
      </c>
      <c r="K38" s="2">
        <f>'5f. Prevalence 6'!J16</f>
        <v>0</v>
      </c>
      <c r="L38" s="2">
        <f>'5f. Prevalence 6'!K16</f>
        <v>0</v>
      </c>
      <c r="M38" s="2">
        <f>'5f. Prevalence 6'!L16</f>
        <v>0</v>
      </c>
      <c r="N38" s="2">
        <f>'5f. Prevalence 6'!M16</f>
        <v>0</v>
      </c>
      <c r="O38" s="2">
        <f>'5f. Prevalence 6'!N16</f>
        <v>0</v>
      </c>
      <c r="P38" s="2">
        <f>'5f. Prevalence 6'!O16</f>
        <v>0</v>
      </c>
      <c r="Q38" s="2">
        <f>'5f. Prevalence 6'!P16</f>
        <v>0</v>
      </c>
      <c r="R38" s="2">
        <f>'5f. Prevalence 6'!Q16</f>
        <v>0</v>
      </c>
      <c r="S38" s="2">
        <f>'5f. Prevalence 6'!R16</f>
        <v>0</v>
      </c>
      <c r="T38" s="2">
        <f>'5f. Prevalence 6'!S16</f>
        <v>0</v>
      </c>
      <c r="U38" s="2">
        <f>'5f. Prevalence 6'!T16</f>
        <v>0</v>
      </c>
      <c r="V38" s="2">
        <f>'5f. Prevalence 6'!U16</f>
        <v>0</v>
      </c>
      <c r="W38" s="2">
        <f>'5f. Prevalence 6'!V16</f>
        <v>0</v>
      </c>
      <c r="X38" s="2">
        <f>'5f. Prevalence 6'!W16</f>
        <v>0</v>
      </c>
      <c r="Y38" s="2">
        <f>'5f. Prevalence 6'!X16</f>
        <v>0</v>
      </c>
      <c r="Z38" s="2">
        <f>'5f. Prevalence 6'!Y16</f>
        <v>0</v>
      </c>
      <c r="AA38" s="2">
        <f>'5f. Prevalence 6'!Z16</f>
        <v>0</v>
      </c>
      <c r="AB38" s="2">
        <f>'5f. Prevalence 6'!AA16</f>
        <v>0</v>
      </c>
      <c r="AC38" s="2">
        <f>'5f. Prevalence 6'!AB16</f>
        <v>0</v>
      </c>
      <c r="AD38" s="2">
        <f>'5f. Prevalence 6'!AC16</f>
        <v>0</v>
      </c>
      <c r="AE38" s="2">
        <f>'5f. Prevalence 6'!AD16</f>
        <v>0</v>
      </c>
      <c r="AF38" s="2">
        <f>'5f. Prevalence 6'!AE16</f>
        <v>0</v>
      </c>
      <c r="AG38" s="2">
        <f>'5f. Prevalence 6'!AF16</f>
        <v>0</v>
      </c>
      <c r="AH38" s="2">
        <f>'5f. Prevalence 6'!AG16</f>
        <v>0</v>
      </c>
      <c r="AI38" s="2">
        <f>'5f. Prevalence 6'!AH16</f>
        <v>0</v>
      </c>
      <c r="AJ38" s="2">
        <f>'5f. Prevalence 6'!AI16</f>
        <v>0</v>
      </c>
      <c r="AK38" s="2">
        <f>'5f. Prevalence 6'!AJ16</f>
        <v>0</v>
      </c>
      <c r="AL38" s="2">
        <f>'5f. Prevalence 6'!AK16</f>
        <v>0</v>
      </c>
      <c r="AM38" s="2">
        <f>'5f. Prevalence 6'!AL16</f>
        <v>0</v>
      </c>
      <c r="AN38" s="2">
        <f>'5f. Prevalence 6'!AM16</f>
        <v>0</v>
      </c>
      <c r="AO38" s="2">
        <f>'5f. Prevalence 6'!AN16</f>
        <v>0</v>
      </c>
      <c r="AP38" s="2">
        <f>'5f. Prevalence 6'!AO16</f>
        <v>0</v>
      </c>
      <c r="AQ38" s="2">
        <f>'5f. Prevalence 6'!AP16</f>
        <v>0</v>
      </c>
      <c r="AR38" s="2">
        <f>'5f. Prevalence 6'!AQ16</f>
        <v>0</v>
      </c>
      <c r="AS38" s="2">
        <f>'5f. Prevalence 6'!AR16</f>
        <v>0</v>
      </c>
      <c r="AT38" s="2">
        <f>'5f. Prevalence 6'!AS16</f>
        <v>0</v>
      </c>
      <c r="AU38" s="2">
        <f>'5f. Prevalence 6'!AT16</f>
        <v>0</v>
      </c>
      <c r="AV38" s="2">
        <f>'5f. Prevalence 6'!AU16</f>
        <v>0</v>
      </c>
      <c r="AW38" s="2">
        <f>'5f. Prevalence 6'!AV16</f>
        <v>0</v>
      </c>
      <c r="AX38" s="2">
        <f>'5f. Prevalence 6'!AW16</f>
        <v>0</v>
      </c>
      <c r="AY38" s="2">
        <f>'5f. Prevalence 6'!AX16</f>
        <v>0</v>
      </c>
      <c r="AZ38" s="2">
        <f>'5f. Prevalence 6'!AY16</f>
        <v>0</v>
      </c>
      <c r="BA38" s="2">
        <f>'5f. Prevalence 6'!AZ16</f>
        <v>2.7424942701437364E-2</v>
      </c>
      <c r="BB38" s="2">
        <f>'5f. Prevalence 6'!BA16</f>
        <v>5.4849885402874728E-2</v>
      </c>
      <c r="BC38" s="2">
        <f>'5f. Prevalence 6'!BB16</f>
        <v>8.2274828104312095E-2</v>
      </c>
      <c r="BD38" s="2">
        <f>'5f. Prevalence 6'!BC16</f>
        <v>0.10969977080574946</v>
      </c>
      <c r="BE38" s="2">
        <f>'5f. Prevalence 6'!BD16</f>
        <v>0.13712471350718683</v>
      </c>
      <c r="BF38" s="2">
        <f>'5f. Prevalence 6'!BE16</f>
        <v>0.16454965620862419</v>
      </c>
      <c r="BG38" s="2">
        <f>'5f. Prevalence 6'!BF16</f>
        <v>0.19197459891006155</v>
      </c>
      <c r="BH38" s="2">
        <f>'5f. Prevalence 6'!BG16</f>
        <v>0.21939954161149891</v>
      </c>
      <c r="BI38" s="2">
        <f>'5f. Prevalence 6'!BH16</f>
        <v>0.2468244843129363</v>
      </c>
      <c r="BJ38" s="2">
        <f>'5f. Prevalence 6'!BI16</f>
        <v>0.27424942701437366</v>
      </c>
      <c r="BK38" s="36">
        <f>'5f. Prevalence 6'!BJ16</f>
        <v>0.30167436971581102</v>
      </c>
      <c r="BL38" s="36">
        <f>'5f. Prevalence 6'!BK16</f>
        <v>0.30167436971581102</v>
      </c>
      <c r="BM38" s="36">
        <f>'5f. Prevalence 6'!BL16</f>
        <v>0.30167436971581102</v>
      </c>
      <c r="BN38" s="36">
        <f>'5f. Prevalence 6'!BM16</f>
        <v>0.30167436971581102</v>
      </c>
      <c r="BO38" s="36">
        <f>'5f. Prevalence 6'!BN16</f>
        <v>0.30167436971581102</v>
      </c>
      <c r="BP38" s="36">
        <f>'5f. Prevalence 6'!BO16</f>
        <v>0.30167436971581102</v>
      </c>
      <c r="BQ38" s="36">
        <f>'5f. Prevalence 6'!BP16</f>
        <v>0.30167436971581102</v>
      </c>
      <c r="BR38" s="36">
        <f>'5f. Prevalence 6'!BQ16</f>
        <v>0.30167436971581102</v>
      </c>
      <c r="BS38" s="36">
        <f>'5f. Prevalence 6'!BR16</f>
        <v>0.30167436971581102</v>
      </c>
      <c r="BT38" s="36">
        <f>'5f. Prevalence 6'!BS16</f>
        <v>0.30167436971581102</v>
      </c>
      <c r="BU38" s="36">
        <f>'5f. Prevalence 6'!BT16</f>
        <v>0.30167436971581102</v>
      </c>
      <c r="BV38" s="36">
        <f>'5f. Prevalence 6'!BU16</f>
        <v>0.30167436971581102</v>
      </c>
      <c r="BW38" s="36">
        <f>'5f. Prevalence 6'!BV16</f>
        <v>0.30167436971581102</v>
      </c>
      <c r="BX38" s="36">
        <f>'5f. Prevalence 6'!BW16</f>
        <v>0.30167436971581102</v>
      </c>
      <c r="BY38" s="36">
        <f>'5f. Prevalence 6'!BX16</f>
        <v>0.30167436971581102</v>
      </c>
      <c r="BZ38" s="36">
        <f>'5f. Prevalence 6'!BY16</f>
        <v>0.41290992936544901</v>
      </c>
      <c r="CA38" s="36">
        <f>'5f. Prevalence 6'!BZ16</f>
        <v>0.41290992936544901</v>
      </c>
      <c r="CB38" s="36">
        <f>'5f. Prevalence 6'!CA16</f>
        <v>0.41290992936544901</v>
      </c>
      <c r="CC38" s="36">
        <f>'5f. Prevalence 6'!CB16</f>
        <v>0.41290992936544901</v>
      </c>
      <c r="CD38" s="36">
        <f>'5f. Prevalence 6'!CC16</f>
        <v>0.41290992936544901</v>
      </c>
      <c r="CE38" s="36">
        <f>'5f. Prevalence 6'!CD16</f>
        <v>0.41290992936544901</v>
      </c>
      <c r="CF38" s="36">
        <f>'5f. Prevalence 6'!CE16</f>
        <v>0.41290992936544901</v>
      </c>
      <c r="CG38" s="36">
        <f>'5f. Prevalence 6'!CF16</f>
        <v>0.41290992936544901</v>
      </c>
      <c r="CH38" s="36">
        <f>'5f. Prevalence 6'!CG16</f>
        <v>0.41290992936544901</v>
      </c>
      <c r="CI38" s="36">
        <f>'5f. Prevalence 6'!CH16</f>
        <v>0.41290992936544901</v>
      </c>
      <c r="CJ38" s="36">
        <f>'5f. Prevalence 6'!CI16</f>
        <v>0.42092725142580867</v>
      </c>
      <c r="CK38" s="36">
        <f t="shared" si="3"/>
        <v>0.42092725142580867</v>
      </c>
      <c r="CL38" s="36">
        <f t="shared" si="3"/>
        <v>0.42092725142580867</v>
      </c>
      <c r="CM38" s="36">
        <f t="shared" si="3"/>
        <v>0.42092725142580867</v>
      </c>
      <c r="CN38" s="36">
        <f t="shared" si="3"/>
        <v>0.42092725142580867</v>
      </c>
      <c r="CO38" s="36">
        <f t="shared" si="3"/>
        <v>0.42092725142580867</v>
      </c>
      <c r="CP38" s="36">
        <f t="shared" si="3"/>
        <v>0.42092725142580867</v>
      </c>
      <c r="CQ38" s="36">
        <f t="shared" si="3"/>
        <v>0.42092725142580867</v>
      </c>
      <c r="CR38" s="36">
        <f t="shared" si="3"/>
        <v>0.42092725142580867</v>
      </c>
      <c r="CS38" s="36">
        <f t="shared" si="3"/>
        <v>0.42092725142580867</v>
      </c>
      <c r="CT38" s="36">
        <f t="shared" si="3"/>
        <v>0.42092725142580867</v>
      </c>
      <c r="CU38" s="36">
        <f t="shared" si="3"/>
        <v>0.42092725142580867</v>
      </c>
      <c r="CV38" s="36">
        <f t="shared" si="3"/>
        <v>0.42092725142580867</v>
      </c>
      <c r="CW38" s="36">
        <f t="shared" si="3"/>
        <v>0.42092725142580867</v>
      </c>
      <c r="CX38" s="36">
        <f t="shared" si="3"/>
        <v>0.42092725142580867</v>
      </c>
      <c r="CY38" s="36">
        <f t="shared" si="3"/>
        <v>0.42092725142580867</v>
      </c>
    </row>
    <row r="39" spans="1:103" x14ac:dyDescent="0.45">
      <c r="A39" s="2" t="s">
        <v>168</v>
      </c>
      <c r="B39" s="2">
        <v>0</v>
      </c>
      <c r="C39" s="2">
        <f>'5f. Prevalence 6'!B17</f>
        <v>0</v>
      </c>
      <c r="D39" s="2">
        <f>'5f. Prevalence 6'!C17</f>
        <v>0</v>
      </c>
      <c r="E39" s="2">
        <f>'5f. Prevalence 6'!D17</f>
        <v>0</v>
      </c>
      <c r="F39" s="2">
        <f>'5f. Prevalence 6'!E17</f>
        <v>0</v>
      </c>
      <c r="G39" s="2">
        <f>'5f. Prevalence 6'!F17</f>
        <v>0</v>
      </c>
      <c r="H39" s="2">
        <f>'5f. Prevalence 6'!G17</f>
        <v>0</v>
      </c>
      <c r="I39" s="2">
        <f>'5f. Prevalence 6'!H17</f>
        <v>0</v>
      </c>
      <c r="J39" s="2">
        <f>'5f. Prevalence 6'!I17</f>
        <v>0</v>
      </c>
      <c r="K39" s="2">
        <f>'5f. Prevalence 6'!J17</f>
        <v>0</v>
      </c>
      <c r="L39" s="2">
        <f>'5f. Prevalence 6'!K17</f>
        <v>0</v>
      </c>
      <c r="M39" s="2">
        <f>'5f. Prevalence 6'!L17</f>
        <v>0</v>
      </c>
      <c r="N39" s="2">
        <f>'5f. Prevalence 6'!M17</f>
        <v>0</v>
      </c>
      <c r="O39" s="2">
        <f>'5f. Prevalence 6'!N17</f>
        <v>0</v>
      </c>
      <c r="P39" s="2">
        <f>'5f. Prevalence 6'!O17</f>
        <v>0</v>
      </c>
      <c r="Q39" s="2">
        <f>'5f. Prevalence 6'!P17</f>
        <v>0</v>
      </c>
      <c r="R39" s="2">
        <f>'5f. Prevalence 6'!Q17</f>
        <v>0</v>
      </c>
      <c r="S39" s="2">
        <f>'5f. Prevalence 6'!R17</f>
        <v>0</v>
      </c>
      <c r="T39" s="2">
        <f>'5f. Prevalence 6'!S17</f>
        <v>0</v>
      </c>
      <c r="U39" s="2">
        <f>'5f. Prevalence 6'!T17</f>
        <v>0</v>
      </c>
      <c r="V39" s="2">
        <f>'5f. Prevalence 6'!U17</f>
        <v>0</v>
      </c>
      <c r="W39" s="2">
        <f>'5f. Prevalence 6'!V17</f>
        <v>0</v>
      </c>
      <c r="X39" s="2">
        <f>'5f. Prevalence 6'!W17</f>
        <v>0</v>
      </c>
      <c r="Y39" s="2">
        <f>'5f. Prevalence 6'!X17</f>
        <v>0</v>
      </c>
      <c r="Z39" s="2">
        <f>'5f. Prevalence 6'!Y17</f>
        <v>0</v>
      </c>
      <c r="AA39" s="2">
        <f>'5f. Prevalence 6'!Z17</f>
        <v>0</v>
      </c>
      <c r="AB39" s="2">
        <f>'5f. Prevalence 6'!AA17</f>
        <v>0</v>
      </c>
      <c r="AC39" s="2">
        <f>'5f. Prevalence 6'!AB17</f>
        <v>0</v>
      </c>
      <c r="AD39" s="2">
        <f>'5f. Prevalence 6'!AC17</f>
        <v>0</v>
      </c>
      <c r="AE39" s="2">
        <f>'5f. Prevalence 6'!AD17</f>
        <v>0</v>
      </c>
      <c r="AF39" s="2">
        <f>'5f. Prevalence 6'!AE17</f>
        <v>0</v>
      </c>
      <c r="AG39" s="2">
        <f>'5f. Prevalence 6'!AF17</f>
        <v>0</v>
      </c>
      <c r="AH39" s="2">
        <f>'5f. Prevalence 6'!AG17</f>
        <v>0</v>
      </c>
      <c r="AI39" s="2">
        <f>'5f. Prevalence 6'!AH17</f>
        <v>0</v>
      </c>
      <c r="AJ39" s="2">
        <f>'5f. Prevalence 6'!AI17</f>
        <v>0</v>
      </c>
      <c r="AK39" s="2">
        <f>'5f. Prevalence 6'!AJ17</f>
        <v>0</v>
      </c>
      <c r="AL39" s="2">
        <f>'5f. Prevalence 6'!AK17</f>
        <v>0</v>
      </c>
      <c r="AM39" s="2">
        <f>'5f. Prevalence 6'!AL17</f>
        <v>0</v>
      </c>
      <c r="AN39" s="2">
        <f>'5f. Prevalence 6'!AM17</f>
        <v>0</v>
      </c>
      <c r="AO39" s="2">
        <f>'5f. Prevalence 6'!AN17</f>
        <v>0</v>
      </c>
      <c r="AP39" s="2">
        <f>'5f. Prevalence 6'!AO17</f>
        <v>0</v>
      </c>
      <c r="AQ39" s="2">
        <f>'5f. Prevalence 6'!AP17</f>
        <v>0</v>
      </c>
      <c r="AR39" s="2">
        <f>'5f. Prevalence 6'!AQ17</f>
        <v>0</v>
      </c>
      <c r="AS39" s="2">
        <f>'5f. Prevalence 6'!AR17</f>
        <v>0</v>
      </c>
      <c r="AT39" s="2">
        <f>'5f. Prevalence 6'!AS17</f>
        <v>0</v>
      </c>
      <c r="AU39" s="2">
        <f>'5f. Prevalence 6'!AT17</f>
        <v>0</v>
      </c>
      <c r="AV39" s="2">
        <f>'5f. Prevalence 6'!AU17</f>
        <v>0</v>
      </c>
      <c r="AW39" s="2">
        <f>'5f. Prevalence 6'!AV17</f>
        <v>0</v>
      </c>
      <c r="AX39" s="2">
        <f>'5f. Prevalence 6'!AW17</f>
        <v>0</v>
      </c>
      <c r="AY39" s="2">
        <f>'5f. Prevalence 6'!AX17</f>
        <v>0</v>
      </c>
      <c r="AZ39" s="2">
        <f>'5f. Prevalence 6'!AY17</f>
        <v>0</v>
      </c>
      <c r="BA39" s="2">
        <f>'5f. Prevalence 6'!AZ17</f>
        <v>3.3387960009349724E-2</v>
      </c>
      <c r="BB39" s="2">
        <f>'5f. Prevalence 6'!BA17</f>
        <v>6.6775920018699447E-2</v>
      </c>
      <c r="BC39" s="2">
        <f>'5f. Prevalence 6'!BB17</f>
        <v>0.10016388002804916</v>
      </c>
      <c r="BD39" s="2">
        <f>'5f. Prevalence 6'!BC17</f>
        <v>0.13355184003739889</v>
      </c>
      <c r="BE39" s="2">
        <f>'5f. Prevalence 6'!BD17</f>
        <v>0.1669398000467486</v>
      </c>
      <c r="BF39" s="2">
        <f>'5f. Prevalence 6'!BE17</f>
        <v>0.20032776005609831</v>
      </c>
      <c r="BG39" s="2">
        <f>'5f. Prevalence 6'!BF17</f>
        <v>0.23371572006544808</v>
      </c>
      <c r="BH39" s="2">
        <f>'5f. Prevalence 6'!BG17</f>
        <v>0.26710368007479779</v>
      </c>
      <c r="BI39" s="2">
        <f>'5f. Prevalence 6'!BH17</f>
        <v>0.30049164008414747</v>
      </c>
      <c r="BJ39" s="2">
        <f>'5f. Prevalence 6'!BI17</f>
        <v>0.33387960009349721</v>
      </c>
      <c r="BK39" s="36">
        <f>'5f. Prevalence 6'!BJ17</f>
        <v>0.36726756010284695</v>
      </c>
      <c r="BL39" s="36">
        <f>'5f. Prevalence 6'!BK17</f>
        <v>0.36726756010284695</v>
      </c>
      <c r="BM39" s="36">
        <f>'5f. Prevalence 6'!BL17</f>
        <v>0.36726756010284695</v>
      </c>
      <c r="BN39" s="36">
        <f>'5f. Prevalence 6'!BM17</f>
        <v>0.36726756010284695</v>
      </c>
      <c r="BO39" s="36">
        <f>'5f. Prevalence 6'!BN17</f>
        <v>0.36726756010284695</v>
      </c>
      <c r="BP39" s="36">
        <f>'5f. Prevalence 6'!BO17</f>
        <v>0.36726756010284695</v>
      </c>
      <c r="BQ39" s="36">
        <f>'5f. Prevalence 6'!BP17</f>
        <v>0.36726756010284695</v>
      </c>
      <c r="BR39" s="36">
        <f>'5f. Prevalence 6'!BQ17</f>
        <v>0.36726756010284695</v>
      </c>
      <c r="BS39" s="36">
        <f>'5f. Prevalence 6'!BR17</f>
        <v>0.36726756010284695</v>
      </c>
      <c r="BT39" s="36">
        <f>'5f. Prevalence 6'!BS17</f>
        <v>0.36726756010284695</v>
      </c>
      <c r="BU39" s="36">
        <f>'5f. Prevalence 6'!BT17</f>
        <v>0.36726756010284695</v>
      </c>
      <c r="BV39" s="36">
        <f>'5f. Prevalence 6'!BU17</f>
        <v>0.36726756010284695</v>
      </c>
      <c r="BW39" s="36">
        <f>'5f. Prevalence 6'!BV17</f>
        <v>0.36726756010284695</v>
      </c>
      <c r="BX39" s="36">
        <f>'5f. Prevalence 6'!BW17</f>
        <v>0.36726756010284695</v>
      </c>
      <c r="BY39" s="36">
        <f>'5f. Prevalence 6'!BX17</f>
        <v>0.36726756010284695</v>
      </c>
      <c r="BZ39" s="36">
        <f>'5f. Prevalence 6'!BY17</f>
        <v>0.47706670638511084</v>
      </c>
      <c r="CA39" s="36">
        <f>'5f. Prevalence 6'!BZ17</f>
        <v>0.47706670638511084</v>
      </c>
      <c r="CB39" s="36">
        <f>'5f. Prevalence 6'!CA17</f>
        <v>0.47706670638511084</v>
      </c>
      <c r="CC39" s="36">
        <f>'5f. Prevalence 6'!CB17</f>
        <v>0.47706670638511084</v>
      </c>
      <c r="CD39" s="36">
        <f>'5f. Prevalence 6'!CC17</f>
        <v>0.47706670638511084</v>
      </c>
      <c r="CE39" s="36">
        <f>'5f. Prevalence 6'!CD17</f>
        <v>0.47706670638511084</v>
      </c>
      <c r="CF39" s="36">
        <f>'5f. Prevalence 6'!CE17</f>
        <v>0.47706670638511084</v>
      </c>
      <c r="CG39" s="36">
        <f>'5f. Prevalence 6'!CF17</f>
        <v>0.47706670638511084</v>
      </c>
      <c r="CH39" s="36">
        <f>'5f. Prevalence 6'!CG17</f>
        <v>0.47706670638511084</v>
      </c>
      <c r="CI39" s="36">
        <f>'5f. Prevalence 6'!CH17</f>
        <v>0.47706670638511084</v>
      </c>
      <c r="CJ39" s="36">
        <f>'5f. Prevalence 6'!CI17</f>
        <v>0.47009343201215592</v>
      </c>
      <c r="CK39" s="36">
        <f t="shared" si="3"/>
        <v>0.47009343201215592</v>
      </c>
      <c r="CL39" s="36">
        <f t="shared" si="3"/>
        <v>0.47009343201215592</v>
      </c>
      <c r="CM39" s="36">
        <f t="shared" si="3"/>
        <v>0.47009343201215592</v>
      </c>
      <c r="CN39" s="36">
        <f t="shared" si="3"/>
        <v>0.47009343201215592</v>
      </c>
      <c r="CO39" s="36">
        <f t="shared" si="3"/>
        <v>0.47009343201215592</v>
      </c>
      <c r="CP39" s="36">
        <f t="shared" si="3"/>
        <v>0.47009343201215592</v>
      </c>
      <c r="CQ39" s="36">
        <f t="shared" si="3"/>
        <v>0.47009343201215592</v>
      </c>
      <c r="CR39" s="36">
        <f t="shared" si="3"/>
        <v>0.47009343201215592</v>
      </c>
      <c r="CS39" s="36">
        <f t="shared" si="3"/>
        <v>0.47009343201215592</v>
      </c>
      <c r="CT39" s="36">
        <f t="shared" si="3"/>
        <v>0.47009343201215592</v>
      </c>
      <c r="CU39" s="36">
        <f t="shared" si="3"/>
        <v>0.47009343201215592</v>
      </c>
      <c r="CV39" s="36">
        <f t="shared" si="3"/>
        <v>0.47009343201215592</v>
      </c>
      <c r="CW39" s="36">
        <f t="shared" si="3"/>
        <v>0.47009343201215592</v>
      </c>
      <c r="CX39" s="36">
        <f t="shared" si="3"/>
        <v>0.47009343201215592</v>
      </c>
      <c r="CY39" s="36">
        <f t="shared" si="3"/>
        <v>0.47009343201215592</v>
      </c>
    </row>
    <row r="40" spans="1:103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</row>
    <row r="41" spans="1:103" x14ac:dyDescent="0.45">
      <c r="A41" s="8" t="s">
        <v>143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</row>
    <row r="42" spans="1:103" x14ac:dyDescent="0.45">
      <c r="A42" s="2" t="s">
        <v>139</v>
      </c>
      <c r="B42" s="2">
        <v>1.58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</row>
    <row r="43" spans="1:103" x14ac:dyDescent="0.45">
      <c r="A43" s="2" t="s">
        <v>322</v>
      </c>
      <c r="B43" s="2">
        <v>1.44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</row>
    <row r="44" spans="1:103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</row>
    <row r="45" spans="1:103" x14ac:dyDescent="0.45">
      <c r="A45" s="8" t="s">
        <v>282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</row>
    <row r="46" spans="1:103" x14ac:dyDescent="0.45">
      <c r="A46" s="2" t="s">
        <v>277</v>
      </c>
      <c r="B46" s="2">
        <v>0.46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</row>
    <row r="47" spans="1:103" x14ac:dyDescent="0.45">
      <c r="A47" s="2" t="s">
        <v>278</v>
      </c>
      <c r="B47" s="37">
        <v>0.7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</row>
    <row r="48" spans="1:103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</row>
    <row r="49" spans="1:103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</row>
    <row r="50" spans="1:103" x14ac:dyDescent="0.45">
      <c r="A50" s="8" t="s">
        <v>321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</row>
    <row r="51" spans="1:103" x14ac:dyDescent="0.45">
      <c r="A51" s="2" t="s">
        <v>291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2.2167524053607335E-2</v>
      </c>
      <c r="BB51" s="2">
        <v>2.3622022798676978E-2</v>
      </c>
      <c r="BC51" s="2">
        <v>2.5165314098707703E-2</v>
      </c>
      <c r="BD51" s="2">
        <v>2.6801955289488477E-2</v>
      </c>
      <c r="BE51" s="2">
        <v>2.8536628195250491E-2</v>
      </c>
      <c r="BF51" s="2">
        <v>3.0374128211383411E-2</v>
      </c>
      <c r="BG51" s="2">
        <v>3.2319351241592909E-2</v>
      </c>
      <c r="BH51" s="2">
        <v>3.4377278355408381E-2</v>
      </c>
      <c r="BI51" s="2">
        <v>3.6552958048480244E-2</v>
      </c>
      <c r="BJ51" s="2">
        <v>3.8851486010051173E-2</v>
      </c>
      <c r="BK51" s="2">
        <v>4.1277982329793739E-2</v>
      </c>
      <c r="BL51" s="2">
        <v>4.3837566110181858E-2</v>
      </c>
      <c r="BM51" s="2">
        <v>4.6535327490870637E-2</v>
      </c>
      <c r="BN51" s="2">
        <v>4.9376297138153502E-2</v>
      </c>
      <c r="BO51" s="2">
        <v>5.2365413305161979E-2</v>
      </c>
      <c r="BP51" s="2">
        <v>5.5507486626506397E-2</v>
      </c>
      <c r="BQ51" s="2">
        <v>5.8807162873635299E-2</v>
      </c>
      <c r="BR51" s="2">
        <v>6.2268883963099153E-2</v>
      </c>
      <c r="BS51" s="2">
        <v>6.589684757755343E-2</v>
      </c>
      <c r="BT51" s="2">
        <v>6.9694965826828326E-2</v>
      </c>
      <c r="BU51" s="2">
        <v>7.3666823441492002E-2</v>
      </c>
      <c r="BV51" s="2">
        <v>7.7815636051565495E-2</v>
      </c>
      <c r="BW51" s="2">
        <v>8.2144209155775028E-2</v>
      </c>
      <c r="BX51" s="2">
        <v>8.665489842922447E-2</v>
      </c>
      <c r="BY51" s="2">
        <v>9.134957204700167E-2</v>
      </c>
      <c r="BZ51" s="2">
        <v>9.622957571555768E-2</v>
      </c>
      <c r="CA51" s="2">
        <v>0.10129570110064012</v>
      </c>
      <c r="CB51" s="2">
        <v>0.10654815831859143</v>
      </c>
      <c r="CC51" s="2">
        <v>0.11198655311601802</v>
      </c>
      <c r="CD51" s="2">
        <v>0.11760986930111916</v>
      </c>
      <c r="CE51" s="2">
        <v>0.123416456909063</v>
      </c>
      <c r="CF51" s="2">
        <v>0.12940402648536053</v>
      </c>
      <c r="CG51" s="2">
        <v>0.13556964975772778</v>
      </c>
      <c r="CH51" s="2">
        <v>0.14190976684176104</v>
      </c>
      <c r="CI51" s="2">
        <v>0.14842019999284328</v>
      </c>
      <c r="CJ51" s="2">
        <v>0.15509617378051233</v>
      </c>
      <c r="CK51" s="2">
        <v>0.15509617378051233</v>
      </c>
      <c r="CL51" s="2">
        <v>0.15509617378051233</v>
      </c>
      <c r="CM51" s="2">
        <v>0.15509617378051233</v>
      </c>
      <c r="CN51" s="2">
        <v>0.15509617378051233</v>
      </c>
      <c r="CO51" s="2">
        <v>0.15509617378051233</v>
      </c>
      <c r="CP51" s="2">
        <v>0.15509617378051233</v>
      </c>
      <c r="CQ51" s="2">
        <v>0.15509617378051233</v>
      </c>
      <c r="CR51" s="2">
        <v>0.15509617378051233</v>
      </c>
      <c r="CS51" s="2">
        <v>0.15509617378051233</v>
      </c>
      <c r="CT51" s="2">
        <v>0.15509617378051233</v>
      </c>
      <c r="CU51" s="2">
        <v>0.15509617378051233</v>
      </c>
      <c r="CV51" s="2">
        <v>0.15509617378051233</v>
      </c>
      <c r="CW51" s="2">
        <v>0.15509617378051233</v>
      </c>
      <c r="CX51" s="2">
        <v>0.15509617378051233</v>
      </c>
      <c r="CY51" s="2">
        <v>0.15509617378051233</v>
      </c>
    </row>
    <row r="52" spans="1:103" x14ac:dyDescent="0.45">
      <c r="A52" s="2" t="s">
        <v>292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2.0286957208614731E-2</v>
      </c>
      <c r="BB52" s="2">
        <v>2.1625475076071266E-2</v>
      </c>
      <c r="BC52" s="2">
        <v>2.3046680521072727E-2</v>
      </c>
      <c r="BD52" s="2">
        <v>2.4554943644903071E-2</v>
      </c>
      <c r="BE52" s="2">
        <v>2.6154770912279468E-2</v>
      </c>
      <c r="BF52" s="2">
        <v>2.7850796969845382E-2</v>
      </c>
      <c r="BG52" s="2">
        <v>2.9647774523585357E-2</v>
      </c>
      <c r="BH52" s="2">
        <v>3.1550562126154258E-2</v>
      </c>
      <c r="BI52" s="2">
        <v>3.3564109734968262E-2</v>
      </c>
      <c r="BJ52" s="2">
        <v>3.569344191645607E-2</v>
      </c>
      <c r="BK52" s="2">
        <v>3.7943638591657392E-2</v>
      </c>
      <c r="BL52" s="2">
        <v>4.0319813243836933E-2</v>
      </c>
      <c r="BM52" s="2">
        <v>4.2827088540338565E-2</v>
      </c>
      <c r="BN52" s="2">
        <v>4.5470569358739055E-2</v>
      </c>
      <c r="BO52" s="2">
        <v>4.8255313251537202E-2</v>
      </c>
      <c r="BP52" s="2">
        <v>5.1186298433925193E-2</v>
      </c>
      <c r="BQ52" s="2">
        <v>5.4268389435201403E-2</v>
      </c>
      <c r="BR52" s="2">
        <v>5.7506300615321582E-2</v>
      </c>
      <c r="BS52" s="2">
        <v>6.0904557812866855E-2</v>
      </c>
      <c r="BT52" s="2">
        <v>6.4467458457890814E-2</v>
      </c>
      <c r="BU52" s="2">
        <v>6.8199030550911366E-2</v>
      </c>
      <c r="BV52" s="2">
        <v>7.2102990975617343E-2</v>
      </c>
      <c r="BW52" s="2">
        <v>7.6182703675295893E-2</v>
      </c>
      <c r="BX52" s="2">
        <v>8.0441138278948277E-2</v>
      </c>
      <c r="BY52" s="2">
        <v>8.4880829809853009E-2</v>
      </c>
      <c r="BZ52" s="2">
        <v>8.9503840144270375E-2</v>
      </c>
      <c r="CA52" s="2">
        <v>9.4311721908520885E-2</v>
      </c>
      <c r="CB52" s="2">
        <v>9.9305485506585023E-2</v>
      </c>
      <c r="CC52" s="2">
        <v>0.10448556995589064</v>
      </c>
      <c r="CD52" s="2">
        <v>0.10985181817491119</v>
      </c>
      <c r="CE52" s="2">
        <v>0.11540345731218182</v>
      </c>
      <c r="CF52" s="2">
        <v>0.12113908463274015</v>
      </c>
      <c r="CG52" s="2">
        <v>0.12705665938612387</v>
      </c>
      <c r="CH52" s="2">
        <v>0.13315350097208345</v>
      </c>
      <c r="CI52" s="2">
        <v>0.13942629359910796</v>
      </c>
      <c r="CJ52" s="2">
        <v>0.14587109750045635</v>
      </c>
      <c r="CK52" s="2">
        <v>0.14587109750045635</v>
      </c>
      <c r="CL52" s="2">
        <v>0.14587109750045635</v>
      </c>
      <c r="CM52" s="2">
        <v>0.14587109750045635</v>
      </c>
      <c r="CN52" s="2">
        <v>0.14587109750045635</v>
      </c>
      <c r="CO52" s="2">
        <v>0.14587109750045635</v>
      </c>
      <c r="CP52" s="2">
        <v>0.14587109750045635</v>
      </c>
      <c r="CQ52" s="2">
        <v>0.14587109750045635</v>
      </c>
      <c r="CR52" s="2">
        <v>0.14587109750045635</v>
      </c>
      <c r="CS52" s="2">
        <v>0.14587109750045635</v>
      </c>
      <c r="CT52" s="2">
        <v>0.14587109750045635</v>
      </c>
      <c r="CU52" s="2">
        <v>0.14587109750045635</v>
      </c>
      <c r="CV52" s="2">
        <v>0.14587109750045635</v>
      </c>
      <c r="CW52" s="2">
        <v>0.14587109750045635</v>
      </c>
      <c r="CX52" s="2">
        <v>0.14587109750045635</v>
      </c>
      <c r="CY52" s="2">
        <v>0.14587109750045635</v>
      </c>
    </row>
    <row r="53" spans="1:103" x14ac:dyDescent="0.45">
      <c r="A53" s="2" t="s">
        <v>293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5.1031205043579275E-2</v>
      </c>
      <c r="BB53" s="2">
        <v>5.406494688711061E-2</v>
      </c>
      <c r="BC53" s="2">
        <v>5.7247801082786598E-2</v>
      </c>
      <c r="BD53" s="2">
        <v>6.0583664975911389E-2</v>
      </c>
      <c r="BE53" s="2">
        <v>6.4076180376747782E-2</v>
      </c>
      <c r="BF53" s="2">
        <v>6.7728695962769203E-2</v>
      </c>
      <c r="BG53" s="2">
        <v>7.1544229786425051E-2</v>
      </c>
      <c r="BH53" s="2">
        <v>7.5525432431415629E-2</v>
      </c>
      <c r="BI53" s="2">
        <v>7.9674551396859639E-2</v>
      </c>
      <c r="BJ53" s="2">
        <v>8.3993397313416041E-2</v>
      </c>
      <c r="BK53" s="2">
        <v>8.8483312606290165E-2</v>
      </c>
      <c r="BL53" s="2">
        <v>9.3145143215352277E-2</v>
      </c>
      <c r="BM53" s="2">
        <v>9.7979213961050582E-2</v>
      </c>
      <c r="BN53" s="2">
        <v>0.10298530810573114</v>
      </c>
      <c r="BO53" s="2">
        <v>0.10816265160340965</v>
      </c>
      <c r="BP53" s="2">
        <v>0.11350990245774817</v>
      </c>
      <c r="BQ53" s="2">
        <v>0.11902514551955434</v>
      </c>
      <c r="BR53" s="2">
        <v>0.1247058929538456</v>
      </c>
      <c r="BS53" s="2">
        <v>0.1305490904954193</v>
      </c>
      <c r="BT53" s="2">
        <v>0.13655112949449444</v>
      </c>
      <c r="BU53" s="2">
        <v>0.14270786463428153</v>
      </c>
      <c r="BV53" s="2">
        <v>0.14901463708444129</v>
      </c>
      <c r="BW53" s="2">
        <v>0.15546630274241902</v>
      </c>
      <c r="BX53" s="2">
        <v>0.16205726511247087</v>
      </c>
      <c r="BY53" s="2">
        <v>0.16878151228327332</v>
      </c>
      <c r="BZ53" s="2">
        <v>0.17563265739214462</v>
      </c>
      <c r="CA53" s="2">
        <v>0.18260398190919336</v>
      </c>
      <c r="CB53" s="2">
        <v>0.18968848103939062</v>
      </c>
      <c r="CC53" s="2">
        <v>0.19687891052502282</v>
      </c>
      <c r="CD53" s="2">
        <v>0.20416783413478223</v>
      </c>
      <c r="CE53" s="2">
        <v>0.21154767114767437</v>
      </c>
      <c r="CF53" s="2">
        <v>0.21901074317810454</v>
      </c>
      <c r="CG53" s="2">
        <v>0.22654931974057257</v>
      </c>
      <c r="CH53" s="2">
        <v>0.23415566201562654</v>
      </c>
      <c r="CI53" s="2">
        <v>0.24182206435018783</v>
      </c>
      <c r="CJ53" s="2">
        <v>0.24954089310209382</v>
      </c>
      <c r="CK53" s="2">
        <v>0.24954089310209382</v>
      </c>
      <c r="CL53" s="2">
        <v>0.24954089310209382</v>
      </c>
      <c r="CM53" s="2">
        <v>0.24954089310209382</v>
      </c>
      <c r="CN53" s="2">
        <v>0.24954089310209382</v>
      </c>
      <c r="CO53" s="2">
        <v>0.24954089310209382</v>
      </c>
      <c r="CP53" s="2">
        <v>0.24954089310209382</v>
      </c>
      <c r="CQ53" s="2">
        <v>0.24954089310209382</v>
      </c>
      <c r="CR53" s="2">
        <v>0.24954089310209382</v>
      </c>
      <c r="CS53" s="2">
        <v>0.24954089310209382</v>
      </c>
      <c r="CT53" s="2">
        <v>0.24954089310209382</v>
      </c>
      <c r="CU53" s="2">
        <v>0.24954089310209382</v>
      </c>
      <c r="CV53" s="2">
        <v>0.24954089310209382</v>
      </c>
      <c r="CW53" s="2">
        <v>0.24954089310209382</v>
      </c>
      <c r="CX53" s="2">
        <v>0.24954089310209382</v>
      </c>
      <c r="CY53" s="2">
        <v>0.24954089310209382</v>
      </c>
    </row>
    <row r="54" spans="1:103" x14ac:dyDescent="0.45">
      <c r="A54" s="2" t="s">
        <v>294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4.70584318216416E-2</v>
      </c>
      <c r="BB54" s="2">
        <v>4.9891999108318097E-2</v>
      </c>
      <c r="BC54" s="2">
        <v>5.2868913184657584E-2</v>
      </c>
      <c r="BD54" s="2">
        <v>5.5993364672940027E-2</v>
      </c>
      <c r="BE54" s="2">
        <v>5.9269340117283464E-2</v>
      </c>
      <c r="BF54" s="2">
        <v>6.2700585052704816E-2</v>
      </c>
      <c r="BG54" s="2">
        <v>6.6290566503251602E-2</v>
      </c>
      <c r="BH54" s="2">
        <v>7.0042435386614699E-2</v>
      </c>
      <c r="BI54" s="2">
        <v>7.3958989351415094E-2</v>
      </c>
      <c r="BJ54" s="2">
        <v>7.8042636613682492E-2</v>
      </c>
      <c r="BK54" s="2">
        <v>8.2295361388528665E-2</v>
      </c>
      <c r="BL54" s="2">
        <v>8.6718691529487746E-2</v>
      </c>
      <c r="BM54" s="2">
        <v>9.1313668989518426E-2</v>
      </c>
      <c r="BN54" s="2">
        <v>9.6080823702781037E-2</v>
      </c>
      <c r="BO54" s="2">
        <v>0.10102015145407583</v>
      </c>
      <c r="BP54" s="2">
        <v>0.1061310962530071</v>
      </c>
      <c r="BQ54" s="2">
        <v>0.11141253766300341</v>
      </c>
      <c r="BR54" s="2">
        <v>0.11686278345253465</v>
      </c>
      <c r="BS54" s="2">
        <v>0.12247956783925651</v>
      </c>
      <c r="BT54" s="2">
        <v>0.12826005549013686</v>
      </c>
      <c r="BU54" s="2">
        <v>0.13420085132522686</v>
      </c>
      <c r="BV54" s="2">
        <v>0.14029801605345205</v>
      </c>
      <c r="BW54" s="2">
        <v>0.14654708724970433</v>
      </c>
      <c r="BX54" s="2">
        <v>0.15294310566776159</v>
      </c>
      <c r="BY54" s="2">
        <v>0.15948064637714621</v>
      </c>
      <c r="BZ54" s="2">
        <v>0.16615385421759266</v>
      </c>
      <c r="CA54" s="2">
        <v>0.17295648298539557</v>
      </c>
      <c r="CB54" s="2">
        <v>0.17988193770395966</v>
      </c>
      <c r="CC54" s="2">
        <v>0.18692331928791672</v>
      </c>
      <c r="CD54" s="2">
        <v>0.19407347088696614</v>
      </c>
      <c r="CE54" s="2">
        <v>0.20132502519198514</v>
      </c>
      <c r="CF54" s="2">
        <v>0.20867045200102319</v>
      </c>
      <c r="CG54" s="2">
        <v>0.21610210537492169</v>
      </c>
      <c r="CH54" s="2">
        <v>0.2236122697592785</v>
      </c>
      <c r="CI54" s="2">
        <v>0.23119320450870973</v>
      </c>
      <c r="CJ54" s="2">
        <v>0.23883718631796624</v>
      </c>
      <c r="CK54" s="2">
        <v>0.23883718631796624</v>
      </c>
      <c r="CL54" s="2">
        <v>0.23883718631796624</v>
      </c>
      <c r="CM54" s="2">
        <v>0.23883718631796624</v>
      </c>
      <c r="CN54" s="2">
        <v>0.23883718631796624</v>
      </c>
      <c r="CO54" s="2">
        <v>0.23883718631796624</v>
      </c>
      <c r="CP54" s="2">
        <v>0.23883718631796624</v>
      </c>
      <c r="CQ54" s="2">
        <v>0.23883718631796624</v>
      </c>
      <c r="CR54" s="2">
        <v>0.23883718631796624</v>
      </c>
      <c r="CS54" s="2">
        <v>0.23883718631796624</v>
      </c>
      <c r="CT54" s="2">
        <v>0.23883718631796624</v>
      </c>
      <c r="CU54" s="2">
        <v>0.23883718631796624</v>
      </c>
      <c r="CV54" s="2">
        <v>0.23883718631796624</v>
      </c>
      <c r="CW54" s="2">
        <v>0.23883718631796624</v>
      </c>
      <c r="CX54" s="2">
        <v>0.23883718631796624</v>
      </c>
      <c r="CY54" s="2">
        <v>0.23883718631796624</v>
      </c>
    </row>
    <row r="55" spans="1:103" x14ac:dyDescent="0.4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</row>
    <row r="56" spans="1:103" x14ac:dyDescent="0.45">
      <c r="A56" s="2"/>
      <c r="B56" s="2"/>
    </row>
    <row r="58" spans="1:103" x14ac:dyDescent="0.45">
      <c r="A58" s="2" t="s">
        <v>289</v>
      </c>
      <c r="B58" s="2">
        <v>50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7D4E-DA07-448B-98F0-CE4835736C2A}">
  <dimension ref="A1:B6"/>
  <sheetViews>
    <sheetView workbookViewId="0">
      <selection activeCell="C16" sqref="C16"/>
    </sheetView>
  </sheetViews>
  <sheetFormatPr defaultRowHeight="14.25" x14ac:dyDescent="0.45"/>
  <cols>
    <col min="1" max="1" width="27.73046875" bestFit="1" customWidth="1"/>
  </cols>
  <sheetData>
    <row r="1" spans="1:2" x14ac:dyDescent="0.45">
      <c r="A1" s="8" t="s">
        <v>283</v>
      </c>
    </row>
    <row r="2" spans="1:2" x14ac:dyDescent="0.45">
      <c r="A2" s="2" t="s">
        <v>288</v>
      </c>
      <c r="B2">
        <v>10000</v>
      </c>
    </row>
    <row r="3" spans="1:2" x14ac:dyDescent="0.45">
      <c r="A3" s="2" t="s">
        <v>287</v>
      </c>
      <c r="B3" s="2">
        <v>50000</v>
      </c>
    </row>
    <row r="4" spans="1:2" x14ac:dyDescent="0.45">
      <c r="A4" s="2" t="s">
        <v>279</v>
      </c>
      <c r="B4" s="2">
        <v>0.75</v>
      </c>
    </row>
    <row r="5" spans="1:2" x14ac:dyDescent="0.45">
      <c r="A5" s="2" t="s">
        <v>280</v>
      </c>
      <c r="B5" s="2">
        <v>0.75</v>
      </c>
    </row>
    <row r="6" spans="1:2" x14ac:dyDescent="0.45">
      <c r="A6" s="2" t="s">
        <v>281</v>
      </c>
      <c r="B6" s="2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837E-DA1B-4CD4-9894-878543EE50D1}">
  <dimension ref="A1:F12"/>
  <sheetViews>
    <sheetView zoomScaleNormal="100" workbookViewId="0"/>
  </sheetViews>
  <sheetFormatPr defaultColWidth="8.73046875" defaultRowHeight="14.25" x14ac:dyDescent="0.45"/>
  <cols>
    <col min="1" max="1" width="12" style="13" customWidth="1"/>
    <col min="2" max="2" width="10" style="13" customWidth="1"/>
    <col min="3" max="6" width="11" style="13" customWidth="1"/>
    <col min="7" max="16384" width="8.73046875" style="13"/>
  </cols>
  <sheetData>
    <row r="1" spans="1:6" x14ac:dyDescent="0.45">
      <c r="A1" s="12" t="s">
        <v>171</v>
      </c>
      <c r="B1" s="12" t="s">
        <v>172</v>
      </c>
      <c r="C1" s="12" t="s">
        <v>170</v>
      </c>
      <c r="D1" s="12" t="s">
        <v>150</v>
      </c>
      <c r="E1" s="12" t="s">
        <v>151</v>
      </c>
      <c r="F1" s="12" t="s">
        <v>152</v>
      </c>
    </row>
    <row r="2" spans="1:6" x14ac:dyDescent="0.45">
      <c r="A2" s="14" t="s">
        <v>144</v>
      </c>
      <c r="B2" s="14" t="s">
        <v>145</v>
      </c>
      <c r="C2" s="15">
        <v>1383</v>
      </c>
      <c r="D2" s="15">
        <v>764</v>
      </c>
      <c r="E2" s="15">
        <v>563</v>
      </c>
      <c r="F2" s="15">
        <v>56</v>
      </c>
    </row>
    <row r="3" spans="1:6" x14ac:dyDescent="0.45">
      <c r="A3" s="14" t="s">
        <v>144</v>
      </c>
      <c r="B3" s="14" t="s">
        <v>146</v>
      </c>
      <c r="C3" s="15">
        <v>521</v>
      </c>
      <c r="D3" s="15">
        <v>184</v>
      </c>
      <c r="E3" s="15">
        <v>272</v>
      </c>
      <c r="F3" s="15">
        <v>65</v>
      </c>
    </row>
    <row r="4" spans="1:6" x14ac:dyDescent="0.45">
      <c r="A4" s="14" t="s">
        <v>144</v>
      </c>
      <c r="B4" s="14" t="s">
        <v>147</v>
      </c>
      <c r="C4" s="15">
        <v>198</v>
      </c>
      <c r="D4" s="15">
        <v>39</v>
      </c>
      <c r="E4" s="15">
        <v>103</v>
      </c>
      <c r="F4" s="15">
        <v>56</v>
      </c>
    </row>
    <row r="6" spans="1:6" x14ac:dyDescent="0.45">
      <c r="A6" s="16" t="s">
        <v>148</v>
      </c>
      <c r="B6" s="16" t="s">
        <v>113</v>
      </c>
      <c r="C6" s="17">
        <v>968</v>
      </c>
      <c r="D6" s="17">
        <v>492</v>
      </c>
      <c r="E6" s="17">
        <v>396</v>
      </c>
      <c r="F6" s="17">
        <v>80</v>
      </c>
    </row>
    <row r="7" spans="1:6" x14ac:dyDescent="0.45">
      <c r="A7" s="16" t="s">
        <v>148</v>
      </c>
      <c r="B7" s="16" t="s">
        <v>114</v>
      </c>
      <c r="C7" s="17">
        <v>1134</v>
      </c>
      <c r="D7" s="17">
        <v>495</v>
      </c>
      <c r="E7" s="17">
        <v>542</v>
      </c>
      <c r="F7" s="17">
        <v>97</v>
      </c>
    </row>
    <row r="9" spans="1:6" x14ac:dyDescent="0.45">
      <c r="A9" s="18" t="s">
        <v>149</v>
      </c>
      <c r="B9" s="18" t="s">
        <v>115</v>
      </c>
      <c r="C9" s="19">
        <v>863</v>
      </c>
      <c r="D9" s="19">
        <v>445</v>
      </c>
      <c r="E9" s="19">
        <v>353</v>
      </c>
      <c r="F9" s="19">
        <v>65</v>
      </c>
    </row>
    <row r="10" spans="1:6" x14ac:dyDescent="0.45">
      <c r="A10" s="18" t="s">
        <v>149</v>
      </c>
      <c r="B10" s="18" t="s">
        <v>116</v>
      </c>
      <c r="C10" s="19">
        <v>575</v>
      </c>
      <c r="D10" s="19">
        <v>237</v>
      </c>
      <c r="E10" s="19">
        <v>286</v>
      </c>
      <c r="F10" s="19">
        <v>52</v>
      </c>
    </row>
    <row r="11" spans="1:6" x14ac:dyDescent="0.45">
      <c r="A11" s="18" t="s">
        <v>149</v>
      </c>
      <c r="B11" s="18" t="s">
        <v>117</v>
      </c>
      <c r="C11" s="19">
        <v>633</v>
      </c>
      <c r="D11" s="19">
        <v>288</v>
      </c>
      <c r="E11" s="19">
        <v>288</v>
      </c>
      <c r="F11" s="19">
        <v>57</v>
      </c>
    </row>
    <row r="12" spans="1:6" x14ac:dyDescent="0.45">
      <c r="A12" s="18" t="s">
        <v>149</v>
      </c>
      <c r="B12" s="18" t="s">
        <v>118</v>
      </c>
      <c r="C12" s="19">
        <v>31</v>
      </c>
      <c r="D12" s="19">
        <v>17</v>
      </c>
      <c r="E12" s="19">
        <v>11</v>
      </c>
      <c r="F12" s="19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483B-40F7-4B3A-883B-95D04C30E3D1}">
  <dimension ref="A1:F12"/>
  <sheetViews>
    <sheetView zoomScaleNormal="100" workbookViewId="0">
      <selection activeCell="H4" sqref="H4"/>
    </sheetView>
  </sheetViews>
  <sheetFormatPr defaultColWidth="8.73046875" defaultRowHeight="14.25" x14ac:dyDescent="0.45"/>
  <cols>
    <col min="1" max="1" width="12" style="13" customWidth="1"/>
    <col min="2" max="2" width="10" style="13" customWidth="1"/>
    <col min="3" max="6" width="13" style="13" customWidth="1"/>
    <col min="7" max="16384" width="8.73046875" style="13"/>
  </cols>
  <sheetData>
    <row r="1" spans="1:6" x14ac:dyDescent="0.45">
      <c r="A1" s="38" t="s">
        <v>171</v>
      </c>
      <c r="B1" s="38" t="s">
        <v>172</v>
      </c>
      <c r="C1" s="38" t="s">
        <v>173</v>
      </c>
      <c r="D1" s="38" t="s">
        <v>174</v>
      </c>
      <c r="E1" s="38" t="s">
        <v>175</v>
      </c>
      <c r="F1" s="12" t="s">
        <v>176</v>
      </c>
    </row>
    <row r="2" spans="1:6" x14ac:dyDescent="0.45">
      <c r="A2" s="39" t="s">
        <v>144</v>
      </c>
      <c r="B2" s="39" t="s">
        <v>145</v>
      </c>
      <c r="C2" s="40">
        <f>'5a. Prevalence 1'!D2/'5a. Prevalence 1'!C2</f>
        <v>0.55242227042660885</v>
      </c>
      <c r="D2" s="40">
        <f>'5a. Prevalence 1'!E2/'5a. Prevalence 1'!C2</f>
        <v>0.40708604483007954</v>
      </c>
      <c r="E2" s="40">
        <f>'5a. Prevalence 1'!F2/'5a. Prevalence 1'!C2</f>
        <v>4.0491684743311641E-2</v>
      </c>
      <c r="F2" s="20">
        <f>C2+D2+E2</f>
        <v>1</v>
      </c>
    </row>
    <row r="3" spans="1:6" x14ac:dyDescent="0.45">
      <c r="A3" s="39" t="s">
        <v>144</v>
      </c>
      <c r="B3" s="39" t="s">
        <v>146</v>
      </c>
      <c r="C3" s="40">
        <f>'5a. Prevalence 1'!D3/'5a. Prevalence 1'!C3</f>
        <v>0.3531669865642994</v>
      </c>
      <c r="D3" s="40">
        <f>'5a. Prevalence 1'!E3/'5a. Prevalence 1'!C3</f>
        <v>0.52207293666026866</v>
      </c>
      <c r="E3" s="40">
        <f>'5a. Prevalence 1'!F3/'5a. Prevalence 1'!C3</f>
        <v>0.12476007677543186</v>
      </c>
      <c r="F3" s="20">
        <f>C3+D3+E3</f>
        <v>0.99999999999999989</v>
      </c>
    </row>
    <row r="4" spans="1:6" x14ac:dyDescent="0.45">
      <c r="A4" s="39" t="s">
        <v>144</v>
      </c>
      <c r="B4" s="39" t="s">
        <v>147</v>
      </c>
      <c r="C4" s="40">
        <f>'5a. Prevalence 1'!D4/'5a. Prevalence 1'!C4</f>
        <v>0.19696969696969696</v>
      </c>
      <c r="D4" s="40">
        <f>'5a. Prevalence 1'!E4/'5a. Prevalence 1'!C4</f>
        <v>0.52020202020202022</v>
      </c>
      <c r="E4" s="40">
        <f>'5a. Prevalence 1'!F4/'5a. Prevalence 1'!C4</f>
        <v>0.28282828282828282</v>
      </c>
      <c r="F4" s="20">
        <f>C4+D4+E4</f>
        <v>1</v>
      </c>
    </row>
    <row r="5" spans="1:6" x14ac:dyDescent="0.45">
      <c r="A5" s="41"/>
      <c r="B5" s="41"/>
      <c r="C5" s="41"/>
      <c r="D5" s="41"/>
      <c r="E5" s="41"/>
    </row>
    <row r="6" spans="1:6" x14ac:dyDescent="0.45">
      <c r="A6" s="42" t="s">
        <v>148</v>
      </c>
      <c r="B6" s="42" t="s">
        <v>113</v>
      </c>
      <c r="C6" s="43">
        <f>'5a. Prevalence 1'!D6/'5a. Prevalence 1'!C6</f>
        <v>0.50826446280991733</v>
      </c>
      <c r="D6" s="43">
        <f>'5a. Prevalence 1'!E6/'5a. Prevalence 1'!C6</f>
        <v>0.40909090909090912</v>
      </c>
      <c r="E6" s="43">
        <f>'5a. Prevalence 1'!F6/'5a. Prevalence 1'!C6</f>
        <v>8.2644628099173556E-2</v>
      </c>
      <c r="F6" s="21">
        <f>C6+D6+E6</f>
        <v>1</v>
      </c>
    </row>
    <row r="7" spans="1:6" x14ac:dyDescent="0.45">
      <c r="A7" s="42" t="s">
        <v>148</v>
      </c>
      <c r="B7" s="42" t="s">
        <v>114</v>
      </c>
      <c r="C7" s="43">
        <f>'5a. Prevalence 1'!D7/'5a. Prevalence 1'!C7</f>
        <v>0.43650793650793651</v>
      </c>
      <c r="D7" s="43">
        <f>'5a. Prevalence 1'!E7/'5a. Prevalence 1'!C7</f>
        <v>0.47795414462081126</v>
      </c>
      <c r="E7" s="43">
        <f>'5a. Prevalence 1'!F7/'5a. Prevalence 1'!C7</f>
        <v>8.55379188712522E-2</v>
      </c>
      <c r="F7" s="21">
        <f>C7+D7+E7</f>
        <v>1</v>
      </c>
    </row>
    <row r="8" spans="1:6" x14ac:dyDescent="0.45">
      <c r="A8" s="41"/>
      <c r="B8" s="41"/>
      <c r="C8" s="41"/>
      <c r="D8" s="41"/>
      <c r="E8" s="41"/>
    </row>
    <row r="9" spans="1:6" x14ac:dyDescent="0.45">
      <c r="A9" s="44" t="s">
        <v>149</v>
      </c>
      <c r="B9" s="44" t="s">
        <v>115</v>
      </c>
      <c r="C9" s="45">
        <f>'5a. Prevalence 1'!D9/'5a. Prevalence 1'!C9</f>
        <v>0.51564310544611824</v>
      </c>
      <c r="D9" s="45">
        <f>'5a. Prevalence 1'!E9/'5a. Prevalence 1'!C9</f>
        <v>0.40903823870220163</v>
      </c>
      <c r="E9" s="45">
        <f>'5a. Prevalence 1'!F9/'5a. Prevalence 1'!C9</f>
        <v>7.5318655851680183E-2</v>
      </c>
      <c r="F9" s="22">
        <f>C9+D9+E9</f>
        <v>1</v>
      </c>
    </row>
    <row r="10" spans="1:6" x14ac:dyDescent="0.45">
      <c r="A10" s="44" t="s">
        <v>149</v>
      </c>
      <c r="B10" s="44" t="s">
        <v>116</v>
      </c>
      <c r="C10" s="45">
        <f>'5a. Prevalence 1'!D10/'5a. Prevalence 1'!C10</f>
        <v>0.41217391304347828</v>
      </c>
      <c r="D10" s="45">
        <f>'5a. Prevalence 1'!E10/'5a. Prevalence 1'!C10</f>
        <v>0.49739130434782608</v>
      </c>
      <c r="E10" s="45">
        <f>'5a. Prevalence 1'!F10/'5a. Prevalence 1'!C10</f>
        <v>9.0434782608695655E-2</v>
      </c>
      <c r="F10" s="22">
        <f>C10+D10+E10</f>
        <v>1</v>
      </c>
    </row>
    <row r="11" spans="1:6" x14ac:dyDescent="0.45">
      <c r="A11" s="44" t="s">
        <v>149</v>
      </c>
      <c r="B11" s="44" t="s">
        <v>117</v>
      </c>
      <c r="C11" s="45">
        <f>'5a. Prevalence 1'!D11/'5a. Prevalence 1'!C11</f>
        <v>0.45497630331753552</v>
      </c>
      <c r="D11" s="45">
        <f>'5a. Prevalence 1'!E11/'5a. Prevalence 1'!C11</f>
        <v>0.45497630331753552</v>
      </c>
      <c r="E11" s="45">
        <f>'5a. Prevalence 1'!F11/'5a. Prevalence 1'!C11</f>
        <v>9.004739336492891E-2</v>
      </c>
      <c r="F11" s="22">
        <f>C11+D11+E11</f>
        <v>1</v>
      </c>
    </row>
    <row r="12" spans="1:6" x14ac:dyDescent="0.45">
      <c r="A12" s="44" t="s">
        <v>149</v>
      </c>
      <c r="B12" s="44" t="s">
        <v>118</v>
      </c>
      <c r="C12" s="45">
        <f>'5a. Prevalence 1'!D12/'5a. Prevalence 1'!C12</f>
        <v>0.54838709677419351</v>
      </c>
      <c r="D12" s="45">
        <f>'5a. Prevalence 1'!E12/'5a. Prevalence 1'!C12</f>
        <v>0.35483870967741937</v>
      </c>
      <c r="E12" s="45">
        <f>'5a. Prevalence 1'!F12/'5a. Prevalence 1'!C12</f>
        <v>9.6774193548387094E-2</v>
      </c>
      <c r="F12" s="22">
        <f>C12+D12+E12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D695-6B13-4CCB-9467-F51657448841}">
  <dimension ref="A1:E8"/>
  <sheetViews>
    <sheetView zoomScaleNormal="100" workbookViewId="0">
      <selection activeCell="D7" sqref="D7"/>
    </sheetView>
  </sheetViews>
  <sheetFormatPr defaultColWidth="8.73046875" defaultRowHeight="14.25" x14ac:dyDescent="0.45"/>
  <cols>
    <col min="1" max="1" width="12" style="13" customWidth="1"/>
    <col min="2" max="2" width="10" style="13" customWidth="1"/>
    <col min="3" max="5" width="13" style="13" customWidth="1"/>
    <col min="6" max="16384" width="8.73046875" style="13"/>
  </cols>
  <sheetData>
    <row r="1" spans="1:5" x14ac:dyDescent="0.45">
      <c r="A1" s="12" t="s">
        <v>171</v>
      </c>
      <c r="B1" s="12" t="s">
        <v>172</v>
      </c>
      <c r="C1" s="12" t="s">
        <v>177</v>
      </c>
      <c r="D1" s="12" t="s">
        <v>178</v>
      </c>
      <c r="E1" s="12" t="s">
        <v>179</v>
      </c>
    </row>
    <row r="2" spans="1:5" x14ac:dyDescent="0.45">
      <c r="A2" s="16" t="s">
        <v>148</v>
      </c>
      <c r="B2" s="16" t="s">
        <v>113</v>
      </c>
      <c r="C2" s="23">
        <f>'5b. Prevalence 2'!C6/AVERAGE('5b. Prevalence 2'!C6,'5b. Prevalence 2'!C7)</f>
        <v>1.0759511246875868</v>
      </c>
      <c r="D2" s="23">
        <f>'5b. Prevalence 2'!D6/AVERAGE('5b. Prevalence 2'!D6,'5b. Prevalence 2'!D7)</f>
        <v>0.92236782647989157</v>
      </c>
      <c r="E2" s="23">
        <f>'5b. Prevalence 2'!E6/AVERAGE('5b. Prevalence 2'!E6,'5b. Prevalence 2'!E7)</f>
        <v>0.98279672401092</v>
      </c>
    </row>
    <row r="3" spans="1:5" x14ac:dyDescent="0.45">
      <c r="A3" s="16" t="s">
        <v>148</v>
      </c>
      <c r="B3" s="16" t="s">
        <v>114</v>
      </c>
      <c r="C3" s="23">
        <f>'5b. Prevalence 2'!C7/AVERAGE('5b. Prevalence 2'!C6,'5b. Prevalence 2'!C7)</f>
        <v>0.9240488753124132</v>
      </c>
      <c r="D3" s="23">
        <f>'5b. Prevalence 2'!D7/AVERAGE('5b. Prevalence 2'!D6,'5b. Prevalence 2'!D7)</f>
        <v>1.0776321735201084</v>
      </c>
      <c r="E3" s="23">
        <f>'5b. Prevalence 2'!E7/AVERAGE('5b. Prevalence 2'!E6,'5b. Prevalence 2'!E7)</f>
        <v>1.0172032759890799</v>
      </c>
    </row>
    <row r="5" spans="1:5" x14ac:dyDescent="0.45">
      <c r="A5" s="18" t="s">
        <v>149</v>
      </c>
      <c r="B5" s="18" t="s">
        <v>115</v>
      </c>
      <c r="C5" s="24">
        <f>'5b. Prevalence 2'!C9/AVERAGE('5b. Prevalence 2'!C9:C12)</f>
        <v>1.0680371455400681</v>
      </c>
      <c r="D5" s="24">
        <f>'5b. Prevalence 2'!D9/AVERAGE('5b. Prevalence 2'!D9:D12)</f>
        <v>0.95333322343014792</v>
      </c>
      <c r="E5" s="24">
        <f>'5b. Prevalence 2'!E9/AVERAGE('5b. Prevalence 2'!E9:E12)</f>
        <v>0.8544979131389181</v>
      </c>
    </row>
    <row r="6" spans="1:5" x14ac:dyDescent="0.45">
      <c r="A6" s="18" t="s">
        <v>149</v>
      </c>
      <c r="B6" s="18" t="s">
        <v>116</v>
      </c>
      <c r="C6" s="24">
        <f>'5b. Prevalence 2'!C10/AVERAGE('5b. Prevalence 2'!C9:C12)</f>
        <v>0.85372430059386684</v>
      </c>
      <c r="D6" s="24">
        <f>'5b. Prevalence 2'!D10/AVERAGE('5b. Prevalence 2'!D9:D12)</f>
        <v>1.1592550784115396</v>
      </c>
      <c r="E6" s="24">
        <f>'5b. Prevalence 2'!E10/AVERAGE('5b. Prevalence 2'!E9:E12)</f>
        <v>1.025991929097581</v>
      </c>
    </row>
    <row r="7" spans="1:5" x14ac:dyDescent="0.45">
      <c r="A7" s="18" t="s">
        <v>149</v>
      </c>
      <c r="B7" s="18" t="s">
        <v>117</v>
      </c>
      <c r="C7" s="24">
        <f>'5b. Prevalence 2'!C11/AVERAGE('5b. Prevalence 2'!C9:C12)</f>
        <v>0.94237969469837113</v>
      </c>
      <c r="D7" s="24">
        <f>'5b. Prevalence 2'!D11/AVERAGE('5b. Prevalence 2'!D9:D12)</f>
        <v>1.0603997005322139</v>
      </c>
      <c r="E7" s="24">
        <f>'5b. Prevalence 2'!E11/AVERAGE('5b. Prevalence 2'!E9:E12)</f>
        <v>1.021596958201884</v>
      </c>
    </row>
    <row r="8" spans="1:5" x14ac:dyDescent="0.45">
      <c r="A8" s="18" t="s">
        <v>149</v>
      </c>
      <c r="B8" s="18" t="s">
        <v>118</v>
      </c>
      <c r="C8" s="24">
        <f>'5b. Prevalence 2'!C12/AVERAGE('5b. Prevalence 2'!C9:C12)</f>
        <v>1.1358588591676939</v>
      </c>
      <c r="D8" s="24">
        <f>'5b. Prevalence 2'!D12/AVERAGE('5b. Prevalence 2'!D9:D12)</f>
        <v>0.82701199762609845</v>
      </c>
      <c r="E8" s="24">
        <f>'5b. Prevalence 2'!E12/AVERAGE('5b. Prevalence 2'!E9:E12)</f>
        <v>1.0979131995616174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C366-5A28-4F3B-893F-9A58689B1DAD}">
  <dimension ref="A1:K10"/>
  <sheetViews>
    <sheetView zoomScaleNormal="100" workbookViewId="0">
      <selection activeCell="H19" sqref="H19"/>
    </sheetView>
  </sheetViews>
  <sheetFormatPr defaultColWidth="8.73046875" defaultRowHeight="14.25" x14ac:dyDescent="0.45"/>
  <cols>
    <col min="1" max="11" width="10" style="13" customWidth="1"/>
    <col min="12" max="16384" width="8.73046875" style="13"/>
  </cols>
  <sheetData>
    <row r="1" spans="1:11" ht="15" customHeight="1" x14ac:dyDescent="0.45">
      <c r="A1" s="52" t="s">
        <v>180</v>
      </c>
      <c r="B1" s="52"/>
      <c r="C1" s="52" t="s">
        <v>150</v>
      </c>
      <c r="D1" s="52"/>
      <c r="E1" s="52"/>
      <c r="F1" s="52" t="s">
        <v>151</v>
      </c>
      <c r="G1" s="52"/>
      <c r="H1" s="52"/>
      <c r="I1" s="52" t="s">
        <v>152</v>
      </c>
      <c r="J1" s="52"/>
      <c r="K1" s="52"/>
    </row>
    <row r="2" spans="1:11" x14ac:dyDescent="0.45">
      <c r="A2" s="52"/>
      <c r="B2" s="52"/>
      <c r="C2" s="12" t="s">
        <v>145</v>
      </c>
      <c r="D2" s="12" t="s">
        <v>146</v>
      </c>
      <c r="E2" s="12" t="s">
        <v>147</v>
      </c>
      <c r="F2" s="12" t="s">
        <v>145</v>
      </c>
      <c r="G2" s="12" t="s">
        <v>146</v>
      </c>
      <c r="H2" s="12" t="s">
        <v>147</v>
      </c>
      <c r="I2" s="12" t="s">
        <v>145</v>
      </c>
      <c r="J2" s="12" t="s">
        <v>146</v>
      </c>
      <c r="K2" s="12" t="s">
        <v>147</v>
      </c>
    </row>
    <row r="3" spans="1:11" x14ac:dyDescent="0.45">
      <c r="A3" s="14" t="s">
        <v>115</v>
      </c>
      <c r="B3" s="14" t="s">
        <v>113</v>
      </c>
      <c r="C3" s="20">
        <f>'5b. Prevalence 2'!C2*'5c. Prevalence 3'!C2*'5c. Prevalence 3'!C5</f>
        <v>0.63481923840585286</v>
      </c>
      <c r="D3" s="20">
        <f>'5b. Prevalence 2'!C3*'5c. Prevalence 3'!C2*'5c. Prevalence 3'!C5</f>
        <v>0.40584387966057567</v>
      </c>
      <c r="E3" s="20">
        <f>'5b. Prevalence 2'!C4*'5c. Prevalence 3'!C2*'5c. Prevalence 3'!C5</f>
        <v>0.22634886338447621</v>
      </c>
      <c r="F3" s="20">
        <f>'5b. Prevalence 2'!D2*'5c. Prevalence 3'!D2*'5c. Prevalence 3'!D5</f>
        <v>0.35796048580995393</v>
      </c>
      <c r="G3" s="20">
        <f>'5b. Prevalence 2'!D3*'5c. Prevalence 3'!D2*'5c. Prevalence 3'!D5</f>
        <v>0.45907120720177147</v>
      </c>
      <c r="H3" s="20">
        <f>'5b. Prevalence 2'!D4*'5c. Prevalence 3'!D2*'5c. Prevalence 3'!D5</f>
        <v>0.45742606565784066</v>
      </c>
      <c r="I3" s="20">
        <f>'5b. Prevalence 2'!E2*'5c. Prevalence 3'!E2*'5c. Prevalence 3'!E5</f>
        <v>3.4004825729282283E-2</v>
      </c>
      <c r="J3" s="20">
        <f>'5b. Prevalence 2'!E3*'5c. Prevalence 3'!E2*'5c. Prevalence 3'!E5</f>
        <v>0.10477323172929225</v>
      </c>
      <c r="K3" s="20">
        <f>'5b. Prevalence 2'!E4*'5c. Prevalence 3'!E2*'5c. Prevalence 3'!E5</f>
        <v>0.23751855547271414</v>
      </c>
    </row>
    <row r="4" spans="1:11" x14ac:dyDescent="0.45">
      <c r="A4" s="14" t="s">
        <v>115</v>
      </c>
      <c r="B4" s="14" t="s">
        <v>114</v>
      </c>
      <c r="C4" s="20">
        <f>'5b. Prevalence 2'!C2*'5c. Prevalence 3'!C3*'5c. Prevalence 3'!C5</f>
        <v>0.54519577127254493</v>
      </c>
      <c r="D4" s="20">
        <f>'5b. Prevalence 2'!C3*'5c. Prevalence 3'!C3*'5c. Prevalence 3'!C5</f>
        <v>0.34854704079766818</v>
      </c>
      <c r="E4" s="20">
        <f>'5b. Prevalence 2'!C4*'5c. Prevalence 3'!C3*'5c. Prevalence 3'!C5</f>
        <v>0.1943930424343385</v>
      </c>
      <c r="F4" s="20">
        <f>'5b. Prevalence 2'!D2*'5c. Prevalence 3'!D3*'5c. Prevalence 3'!D5</f>
        <v>0.41821681685262496</v>
      </c>
      <c r="G4" s="20">
        <f>'5b. Prevalence 2'!D3*'5c. Prevalence 3'!D3*'5c. Prevalence 3'!D5</f>
        <v>0.53634774394218332</v>
      </c>
      <c r="H4" s="20">
        <f>'5b. Prevalence 2'!D4*'5c. Prevalence 3'!D3*'5c. Prevalence 3'!D5</f>
        <v>0.5344256718502931</v>
      </c>
      <c r="I4" s="20">
        <f>'5b. Prevalence 2'!E2*'5c. Prevalence 3'!E3*'5c. Prevalence 3'!E5</f>
        <v>3.5195294495995247E-2</v>
      </c>
      <c r="J4" s="20">
        <f>'5b. Prevalence 2'!E3*'5c. Prevalence 3'!E3*'5c. Prevalence 3'!E5</f>
        <v>0.1084412187660232</v>
      </c>
      <c r="K4" s="20">
        <f>'5b. Prevalence 2'!E4*'5c. Prevalence 3'!E3*'5c. Prevalence 3'!E5</f>
        <v>0.24583379943414863</v>
      </c>
    </row>
    <row r="5" spans="1:11" x14ac:dyDescent="0.45">
      <c r="A5" s="18" t="s">
        <v>116</v>
      </c>
      <c r="B5" s="18" t="s">
        <v>113</v>
      </c>
      <c r="C5" s="22">
        <f>'5b. Prevalence 2'!C2*'5c. Prevalence 3'!C2*'5c. Prevalence 3'!C6</f>
        <v>0.50743610610801171</v>
      </c>
      <c r="D5" s="22">
        <f>'5b. Prevalence 2'!C3*'5c. Prevalence 3'!C2*'5c. Prevalence 3'!C6</f>
        <v>0.32440705247037499</v>
      </c>
      <c r="E5" s="22">
        <f>'5b. Prevalence 2'!C4*'5c. Prevalence 3'!C2*'5c. Prevalence 3'!C6</f>
        <v>0.18092959209336709</v>
      </c>
      <c r="F5" s="22">
        <f>'5b. Prevalence 2'!D2*'5c. Prevalence 3'!D2*'5c. Prevalence 3'!D6</f>
        <v>0.43528065617263806</v>
      </c>
      <c r="G5" s="22">
        <f>'5b. Prevalence 2'!D3*'5c. Prevalence 3'!D2*'5c. Prevalence 3'!D6</f>
        <v>0.55823149264257588</v>
      </c>
      <c r="H5" s="22">
        <f>'5b. Prevalence 2'!D4*'5c. Prevalence 3'!D2*'5c. Prevalence 3'!D6</f>
        <v>0.55623099728309844</v>
      </c>
      <c r="I5" s="22">
        <f>'5b. Prevalence 2'!E2*'5c. Prevalence 3'!E2*'5c. Prevalence 3'!E6</f>
        <v>4.0829446406080848E-2</v>
      </c>
      <c r="J5" s="22">
        <f>'5b. Prevalence 2'!E3*'5c. Prevalence 3'!E2*'5c. Prevalence 3'!E6</f>
        <v>0.12580076380157107</v>
      </c>
      <c r="K5" s="22">
        <f>'5b. Prevalence 2'!E4*'5c. Prevalence 3'!E2*'5c. Prevalence 3'!E6</f>
        <v>0.28518749686671624</v>
      </c>
    </row>
    <row r="6" spans="1:11" x14ac:dyDescent="0.45">
      <c r="A6" s="18" t="s">
        <v>116</v>
      </c>
      <c r="B6" s="18" t="s">
        <v>114</v>
      </c>
      <c r="C6" s="22">
        <f>'5b. Prevalence 2'!C2*'5c. Prevalence 3'!C3*'5c. Prevalence 3'!C6</f>
        <v>0.43579652679685349</v>
      </c>
      <c r="D6" s="22">
        <f>'5b. Prevalence 2'!C3*'5c. Prevalence 3'!C3*'5c. Prevalence 3'!C6</f>
        <v>0.27860742472452515</v>
      </c>
      <c r="E6" s="22">
        <f>'5b. Prevalence 2'!C4*'5c. Prevalence 3'!C3*'5c. Prevalence 3'!C6</f>
        <v>0.15538604147391377</v>
      </c>
      <c r="F6" s="22">
        <f>'5b. Prevalence 2'!D2*'5c. Prevalence 3'!D3*'5c. Prevalence 3'!D6</f>
        <v>0.50855247346683674</v>
      </c>
      <c r="G6" s="22">
        <f>'5b. Prevalence 2'!D3*'5c. Prevalence 3'!D3*'5c. Prevalence 3'!D6</f>
        <v>0.65219991360670926</v>
      </c>
      <c r="H6" s="22">
        <f>'5b. Prevalence 2'!D4*'5c. Prevalence 3'!D3*'5c. Prevalence 3'!D6</f>
        <v>0.64986267015517007</v>
      </c>
      <c r="I6" s="22">
        <f>'5b. Prevalence 2'!E2*'5c. Prevalence 3'!E3*'5c. Prevalence 3'!E6</f>
        <v>4.2258837078321947E-2</v>
      </c>
      <c r="J6" s="22">
        <f>'5b. Prevalence 2'!E3*'5c. Prevalence 3'!E3*'5c. Prevalence 3'!E6</f>
        <v>0.13020489988880421</v>
      </c>
      <c r="K6" s="22">
        <f>'5b. Prevalence 2'!E4*'5c. Prevalence 3'!E3*'5c. Prevalence 3'!E6</f>
        <v>0.29517157413797601</v>
      </c>
    </row>
    <row r="7" spans="1:11" x14ac:dyDescent="0.45">
      <c r="A7" s="16" t="s">
        <v>117</v>
      </c>
      <c r="B7" s="16" t="s">
        <v>113</v>
      </c>
      <c r="C7" s="21">
        <f>'5b. Prevalence 2'!C2*'5c. Prevalence 3'!C2*'5c. Prevalence 3'!C7</f>
        <v>0.56013104279725323</v>
      </c>
      <c r="D7" s="21">
        <f>'5b. Prevalence 2'!C3*'5c. Prevalence 3'!C2*'5c. Prevalence 3'!C7</f>
        <v>0.35809525259193109</v>
      </c>
      <c r="E7" s="21">
        <f>'5b. Prevalence 2'!C4*'5c. Prevalence 3'!C2*'5c. Prevalence 3'!C7</f>
        <v>0.19971830910780214</v>
      </c>
      <c r="F7" s="21">
        <f>'5b. Prevalence 2'!D2*'5c. Prevalence 3'!D2*'5c. Prevalence 3'!D7</f>
        <v>0.39816213536488942</v>
      </c>
      <c r="G7" s="21">
        <f>'5b. Prevalence 2'!D3*'5c. Prevalence 3'!D2*'5c. Prevalence 3'!D7</f>
        <v>0.51062834974762505</v>
      </c>
      <c r="H7" s="21">
        <f>'5b. Prevalence 2'!D4*'5c. Prevalence 3'!D2*'5c. Prevalence 3'!D7</f>
        <v>0.50879844645920247</v>
      </c>
      <c r="I7" s="21">
        <f>'5b. Prevalence 2'!E2*'5c. Prevalence 3'!E2*'5c. Prevalence 3'!E7</f>
        <v>4.0654548121257128E-2</v>
      </c>
      <c r="J7" s="21">
        <f>'5b. Prevalence 2'!E3*'5c. Prevalence 3'!E2*'5c. Prevalence 3'!E7</f>
        <v>0.12526187974226793</v>
      </c>
      <c r="K7" s="21">
        <f>'5b. Prevalence 2'!E4*'5c. Prevalence 3'!E2*'5c. Prevalence 3'!E7</f>
        <v>0.28396585884696268</v>
      </c>
    </row>
    <row r="8" spans="1:11" x14ac:dyDescent="0.45">
      <c r="A8" s="16" t="s">
        <v>117</v>
      </c>
      <c r="B8" s="16" t="s">
        <v>114</v>
      </c>
      <c r="C8" s="21">
        <f>'5b. Prevalence 2'!C2*'5c. Prevalence 3'!C3*'5c. Prevalence 3'!C7</f>
        <v>0.48105201830116406</v>
      </c>
      <c r="D8" s="21">
        <f>'5b. Prevalence 2'!C3*'5c. Prevalence 3'!C3*'5c. Prevalence 3'!C7</f>
        <v>0.30753954136008532</v>
      </c>
      <c r="E8" s="21">
        <f>'5b. Prevalence 2'!C4*'5c. Prevalence 3'!C3*'5c. Prevalence 3'!C7</f>
        <v>0.17152217668246525</v>
      </c>
      <c r="F8" s="21">
        <f>'5b. Prevalence 2'!D2*'5c. Prevalence 3'!D3*'5c. Prevalence 3'!D7</f>
        <v>0.46518570469243009</v>
      </c>
      <c r="G8" s="21">
        <f>'5b. Prevalence 2'!D3*'5c. Prevalence 3'!D3*'5c. Prevalence 3'!D7</f>
        <v>0.59658362163341971</v>
      </c>
      <c r="H8" s="21">
        <f>'5b. Prevalence 2'!D4*'5c. Prevalence 3'!D3*'5c. Prevalence 3'!D7</f>
        <v>0.59444568641774742</v>
      </c>
      <c r="I8" s="21">
        <f>'5b. Prevalence 2'!E2*'5c. Prevalence 3'!E3*'5c. Prevalence 3'!E7</f>
        <v>4.207781581121648E-2</v>
      </c>
      <c r="J8" s="21">
        <f>'5b. Prevalence 2'!E3*'5c. Prevalence 3'!E3*'5c. Prevalence 3'!E7</f>
        <v>0.12964715013536143</v>
      </c>
      <c r="K8" s="21">
        <f>'5b. Prevalence 2'!E4*'5c. Prevalence 3'!E3*'5c. Prevalence 3'!E7</f>
        <v>0.29390716801470906</v>
      </c>
    </row>
    <row r="9" spans="1:11" x14ac:dyDescent="0.45">
      <c r="A9" s="25" t="s">
        <v>118</v>
      </c>
      <c r="B9" s="25" t="s">
        <v>113</v>
      </c>
      <c r="C9" s="26">
        <f>'5b. Prevalence 2'!C2*'5c. Prevalence 3'!C2*'5c. Prevalence 3'!C8</f>
        <v>0.67513106536080225</v>
      </c>
      <c r="D9" s="26">
        <f>'5b. Prevalence 2'!C3*'5c. Prevalence 3'!C2*'5c. Prevalence 3'!C8</f>
        <v>0.4316154808626535</v>
      </c>
      <c r="E9" s="26">
        <f>'5b. Prevalence 2'!C4*'5c. Prevalence 3'!C2*'5c. Prevalence 3'!C8</f>
        <v>0.24072230335002898</v>
      </c>
      <c r="F9" s="26">
        <f>'5b. Prevalence 2'!D2*'5c. Prevalence 3'!D2*'5c. Prevalence 3'!D8</f>
        <v>0.31052900409338324</v>
      </c>
      <c r="G9" s="26">
        <f>'5b. Prevalence 2'!D3*'5c. Prevalence 3'!D2*'5c. Prevalence 3'!D8</f>
        <v>0.39824206981325205</v>
      </c>
      <c r="H9" s="26">
        <f>'5b. Prevalence 2'!D4*'5c. Prevalence 3'!D2*'5c. Prevalence 3'!D8</f>
        <v>0.39681491741660257</v>
      </c>
      <c r="I9" s="26">
        <f>'5b. Prevalence 2'!E2*'5c. Prevalence 3'!E2*'5c. Prevalence 3'!E8</f>
        <v>4.3691560205018277E-2</v>
      </c>
      <c r="J9" s="26">
        <f>'5b. Prevalence 2'!E3*'5c. Prevalence 3'!E2*'5c. Prevalence 3'!E8</f>
        <v>0.13461930369584996</v>
      </c>
      <c r="K9" s="26">
        <f>'5b. Prevalence 2'!E4*'5c. Prevalence 3'!E2*'5c. Prevalence 3'!E8</f>
        <v>0.3051789280986883</v>
      </c>
    </row>
    <row r="10" spans="1:11" x14ac:dyDescent="0.45">
      <c r="A10" s="25" t="s">
        <v>118</v>
      </c>
      <c r="B10" s="25" t="s">
        <v>114</v>
      </c>
      <c r="C10" s="26">
        <f>'5b. Prevalence 2'!C2*'5c. Prevalence 3'!C3*'5c. Prevalence 3'!C8</f>
        <v>0.57981639437038823</v>
      </c>
      <c r="D10" s="26">
        <f>'5b. Prevalence 2'!C3*'5c. Prevalence 3'!C3*'5c. Prevalence 3'!C8</f>
        <v>0.3706802200465813</v>
      </c>
      <c r="E10" s="26">
        <f>'5b. Prevalence 2'!C4*'5c. Prevalence 3'!C3*'5c. Prevalence 3'!C8</f>
        <v>0.20673724723118375</v>
      </c>
      <c r="F10" s="26">
        <f>'5b. Prevalence 2'!D2*'5c. Prevalence 3'!D3*'5c. Prevalence 3'!D8</f>
        <v>0.36280108218787988</v>
      </c>
      <c r="G10" s="26">
        <f>'5b. Prevalence 2'!D3*'5c. Prevalence 3'!D3*'5c. Prevalence 3'!D8</f>
        <v>0.4652790946946127</v>
      </c>
      <c r="H10" s="26">
        <f>'5b. Prevalence 2'!D4*'5c. Prevalence 3'!D3*'5c. Prevalence 3'!D8</f>
        <v>0.46361170637620697</v>
      </c>
      <c r="I10" s="26">
        <f>'5b. Prevalence 2'!E2*'5c. Prevalence 3'!E3*'5c. Prevalence 3'!E8</f>
        <v>4.5221150099320942E-2</v>
      </c>
      <c r="J10" s="26">
        <f>'5b. Prevalence 2'!E3*'5c. Prevalence 3'!E3*'5c. Prevalence 3'!E8</f>
        <v>0.13933216644428489</v>
      </c>
      <c r="K10" s="26">
        <f>'5b. Prevalence 2'!E4*'5c. Prevalence 3'!E3*'5c. Prevalence 3'!E8</f>
        <v>0.31586288175434779</v>
      </c>
    </row>
  </sheetData>
  <mergeCells count="4">
    <mergeCell ref="A1:B2"/>
    <mergeCell ref="C1:E1"/>
    <mergeCell ref="F1:H1"/>
    <mergeCell ref="I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4E01-4462-422E-A1A1-2805A41E6492}">
  <dimension ref="A1:N10"/>
  <sheetViews>
    <sheetView zoomScaleNormal="100" workbookViewId="0">
      <selection activeCell="I5" sqref="I5"/>
    </sheetView>
  </sheetViews>
  <sheetFormatPr defaultColWidth="8.73046875" defaultRowHeight="14.25" x14ac:dyDescent="0.45"/>
  <cols>
    <col min="1" max="14" width="10" style="13" customWidth="1"/>
    <col min="15" max="16384" width="8.73046875" style="13"/>
  </cols>
  <sheetData>
    <row r="1" spans="1:14" ht="15" customHeight="1" x14ac:dyDescent="0.45">
      <c r="A1" s="52" t="s">
        <v>180</v>
      </c>
      <c r="B1" s="52"/>
      <c r="C1" s="52" t="s">
        <v>150</v>
      </c>
      <c r="D1" s="52"/>
      <c r="E1" s="52"/>
      <c r="F1" s="52" t="s">
        <v>151</v>
      </c>
      <c r="G1" s="52"/>
      <c r="H1" s="52"/>
      <c r="I1" s="52" t="s">
        <v>152</v>
      </c>
      <c r="J1" s="52"/>
      <c r="K1" s="52"/>
      <c r="L1" s="52" t="s">
        <v>181</v>
      </c>
      <c r="M1" s="52"/>
      <c r="N1" s="52"/>
    </row>
    <row r="2" spans="1:14" x14ac:dyDescent="0.45">
      <c r="A2" s="52"/>
      <c r="B2" s="52"/>
      <c r="C2" s="12" t="s">
        <v>145</v>
      </c>
      <c r="D2" s="12" t="s">
        <v>146</v>
      </c>
      <c r="E2" s="12" t="s">
        <v>147</v>
      </c>
      <c r="F2" s="12" t="s">
        <v>145</v>
      </c>
      <c r="G2" s="12" t="s">
        <v>146</v>
      </c>
      <c r="H2" s="12" t="s">
        <v>147</v>
      </c>
      <c r="I2" s="12" t="s">
        <v>145</v>
      </c>
      <c r="J2" s="12" t="s">
        <v>146</v>
      </c>
      <c r="K2" s="12" t="s">
        <v>147</v>
      </c>
      <c r="L2" s="12" t="s">
        <v>145</v>
      </c>
      <c r="M2" s="12" t="s">
        <v>146</v>
      </c>
      <c r="N2" s="12" t="s">
        <v>147</v>
      </c>
    </row>
    <row r="3" spans="1:14" x14ac:dyDescent="0.45">
      <c r="A3" s="14" t="s">
        <v>115</v>
      </c>
      <c r="B3" s="14" t="s">
        <v>113</v>
      </c>
      <c r="C3" s="20">
        <f>'5d. Prevalence 4'!C3/('5d. Prevalence 4'!C3+'5d. Prevalence 4'!F3+'5d. Prevalence 4'!I3)</f>
        <v>0.6182594376199001</v>
      </c>
      <c r="D3" s="20">
        <f>'5d. Prevalence 4'!D3/('5d. Prevalence 4'!D3+'5d. Prevalence 4'!G3+'5d. Prevalence 4'!J3)</f>
        <v>0.4185302347975246</v>
      </c>
      <c r="E3" s="20">
        <f>'5d. Prevalence 4'!E3/('5d. Prevalence 4'!E3+'5d. Prevalence 4'!H3+'5d. Prevalence 4'!K3)</f>
        <v>0.24568594827697743</v>
      </c>
      <c r="F3" s="20">
        <f>'5d. Prevalence 4'!F3/('5d. Prevalence 4'!C3+'5d. Prevalence 4'!F3+'5d. Prevalence 4'!I3)</f>
        <v>0.34862278150669213</v>
      </c>
      <c r="G3" s="20">
        <f>'5d. Prevalence 4'!G3/('5d. Prevalence 4'!D3+'5d. Prevalence 4'!G3+'5d. Prevalence 4'!J3)</f>
        <v>0.47342140603335259</v>
      </c>
      <c r="H3" s="20">
        <f>'5d. Prevalence 4'!H3/('5d. Prevalence 4'!E3+'5d. Prevalence 4'!H3+'5d. Prevalence 4'!K3)</f>
        <v>0.49650417955428156</v>
      </c>
      <c r="I3" s="20">
        <f>'5d. Prevalence 4'!I3/('5d. Prevalence 4'!C3+'5d. Prevalence 4'!F3+'5d. Prevalence 4'!I3)</f>
        <v>3.3117780873407977E-2</v>
      </c>
      <c r="J3" s="20">
        <f>'5d. Prevalence 4'!J3/('5d. Prevalence 4'!D3+'5d. Prevalence 4'!G3+'5d. Prevalence 4'!J3)</f>
        <v>0.10804835916912281</v>
      </c>
      <c r="K3" s="20">
        <f>'5d. Prevalence 4'!K3/('5d. Prevalence 4'!E3+'5d. Prevalence 4'!H3+'5d. Prevalence 4'!K3)</f>
        <v>0.25780987216874102</v>
      </c>
      <c r="L3" s="27">
        <f t="shared" ref="L3:N10" si="0">C3+F3+I3</f>
        <v>1.0000000000000002</v>
      </c>
      <c r="M3" s="27">
        <f t="shared" si="0"/>
        <v>1</v>
      </c>
      <c r="N3" s="27">
        <f t="shared" si="0"/>
        <v>1</v>
      </c>
    </row>
    <row r="4" spans="1:14" x14ac:dyDescent="0.45">
      <c r="A4" s="14" t="s">
        <v>115</v>
      </c>
      <c r="B4" s="14" t="s">
        <v>114</v>
      </c>
      <c r="C4" s="20">
        <f>'5d. Prevalence 4'!C4/('5d. Prevalence 4'!C4+'5d. Prevalence 4'!F4+'5d. Prevalence 4'!I4)</f>
        <v>0.54595580583792769</v>
      </c>
      <c r="D4" s="20">
        <f>'5d. Prevalence 4'!D4/('5d. Prevalence 4'!D4+'5d. Prevalence 4'!G4+'5d. Prevalence 4'!J4)</f>
        <v>0.35088533946973444</v>
      </c>
      <c r="E4" s="20">
        <f>'5d. Prevalence 4'!E4/('5d. Prevalence 4'!E4+'5d. Prevalence 4'!H4+'5d. Prevalence 4'!K4)</f>
        <v>0.19944856212665282</v>
      </c>
      <c r="F4" s="20">
        <f>'5d. Prevalence 4'!F4/('5d. Prevalence 4'!C4+'5d. Prevalence 4'!F4+'5d. Prevalence 4'!I4)</f>
        <v>0.41879983538171306</v>
      </c>
      <c r="G4" s="20">
        <f>'5d. Prevalence 4'!G4/('5d. Prevalence 4'!D4+'5d. Prevalence 4'!G4+'5d. Prevalence 4'!J4)</f>
        <v>0.53994594180539168</v>
      </c>
      <c r="H4" s="20">
        <f>'5d. Prevalence 4'!H4/('5d. Prevalence 4'!E4+'5d. Prevalence 4'!H4+'5d. Prevalence 4'!K4)</f>
        <v>0.54832431489987699</v>
      </c>
      <c r="I4" s="20">
        <f>'5d. Prevalence 4'!I4/('5d. Prevalence 4'!C4+'5d. Prevalence 4'!F4+'5d. Prevalence 4'!I4)</f>
        <v>3.5244358780359281E-2</v>
      </c>
      <c r="J4" s="20">
        <f>'5d. Prevalence 4'!J4/('5d. Prevalence 4'!D4+'5d. Prevalence 4'!G4+'5d. Prevalence 4'!J4)</f>
        <v>0.10916871872487391</v>
      </c>
      <c r="K4" s="20">
        <f>'5d. Prevalence 4'!K4/('5d. Prevalence 4'!E4+'5d. Prevalence 4'!H4+'5d. Prevalence 4'!K4)</f>
        <v>0.25222712297347016</v>
      </c>
      <c r="L4" s="27">
        <f t="shared" si="0"/>
        <v>1</v>
      </c>
      <c r="M4" s="27">
        <f t="shared" si="0"/>
        <v>1</v>
      </c>
      <c r="N4" s="27">
        <f t="shared" si="0"/>
        <v>1</v>
      </c>
    </row>
    <row r="5" spans="1:14" x14ac:dyDescent="0.45">
      <c r="A5" s="18" t="s">
        <v>116</v>
      </c>
      <c r="B5" s="18" t="s">
        <v>113</v>
      </c>
      <c r="C5" s="22">
        <f>'5d. Prevalence 4'!C5/('5d. Prevalence 4'!C5+'5d. Prevalence 4'!F5+'5d. Prevalence 4'!I5)</f>
        <v>0.51592502886626979</v>
      </c>
      <c r="D5" s="22">
        <f>'5d. Prevalence 4'!D5/('5d. Prevalence 4'!D5+'5d. Prevalence 4'!G5+'5d. Prevalence 4'!J5)</f>
        <v>0.32169219268095056</v>
      </c>
      <c r="E5" s="22">
        <f>'5d. Prevalence 4'!E5/('5d. Prevalence 4'!E5+'5d. Prevalence 4'!H5+'5d. Prevalence 4'!K5)</f>
        <v>0.17697454959614423</v>
      </c>
      <c r="F5" s="22">
        <f>'5d. Prevalence 4'!F5/('5d. Prevalence 4'!C5+'5d. Prevalence 4'!F5+'5d. Prevalence 4'!I5)</f>
        <v>0.44256248697642969</v>
      </c>
      <c r="G5" s="22">
        <f>'5d. Prevalence 4'!G5/('5d. Prevalence 4'!D5+'5d. Prevalence 4'!G5+'5d. Prevalence 4'!J5)</f>
        <v>0.55355983023257294</v>
      </c>
      <c r="H5" s="22">
        <f>'5d. Prevalence 4'!H5/('5d. Prevalence 4'!E5+'5d. Prevalence 4'!H5+'5d. Prevalence 4'!K5)</f>
        <v>0.54407202866401227</v>
      </c>
      <c r="I5" s="22">
        <f>'5d. Prevalence 4'!I5/('5d. Prevalence 4'!C5+'5d. Prevalence 4'!F5+'5d. Prevalence 4'!I5)</f>
        <v>4.1512484157300467E-2</v>
      </c>
      <c r="J5" s="22">
        <f>'5d. Prevalence 4'!J5/('5d. Prevalence 4'!D5+'5d. Prevalence 4'!G5+'5d. Prevalence 4'!J5)</f>
        <v>0.1247479770864766</v>
      </c>
      <c r="K5" s="22">
        <f>'5d. Prevalence 4'!K5/('5d. Prevalence 4'!E5+'5d. Prevalence 4'!H5+'5d. Prevalence 4'!K5)</f>
        <v>0.27895342173984355</v>
      </c>
      <c r="L5" s="24">
        <f t="shared" si="0"/>
        <v>1</v>
      </c>
      <c r="M5" s="24">
        <f t="shared" si="0"/>
        <v>1</v>
      </c>
      <c r="N5" s="24">
        <f t="shared" si="0"/>
        <v>1</v>
      </c>
    </row>
    <row r="6" spans="1:14" x14ac:dyDescent="0.45">
      <c r="A6" s="18" t="s">
        <v>116</v>
      </c>
      <c r="B6" s="18" t="s">
        <v>114</v>
      </c>
      <c r="C6" s="22">
        <f>'5d. Prevalence 4'!C6/('5d. Prevalence 4'!C6+'5d. Prevalence 4'!F6+'5d. Prevalence 4'!I6)</f>
        <v>0.44171200582687303</v>
      </c>
      <c r="D6" s="22">
        <f>'5d. Prevalence 4'!D6/('5d. Prevalence 4'!D6+'5d. Prevalence 4'!G6+'5d. Prevalence 4'!J6)</f>
        <v>0.26258643839200091</v>
      </c>
      <c r="E6" s="22">
        <f>'5d. Prevalence 4'!E6/('5d. Prevalence 4'!E6+'5d. Prevalence 4'!H6+'5d. Prevalence 4'!K6)</f>
        <v>0.14120608596887163</v>
      </c>
      <c r="F6" s="22">
        <f>'5d. Prevalence 4'!F6/('5d. Prevalence 4'!C6+'5d. Prevalence 4'!F6+'5d. Prevalence 4'!I6)</f>
        <v>0.51545553787299248</v>
      </c>
      <c r="G6" s="22">
        <f>'5d. Prevalence 4'!G6/('5d. Prevalence 4'!D6+'5d. Prevalence 4'!G6+'5d. Prevalence 4'!J6)</f>
        <v>0.61469593856979843</v>
      </c>
      <c r="H6" s="22">
        <f>'5d. Prevalence 4'!H6/('5d. Prevalence 4'!E6+'5d. Prevalence 4'!H6+'5d. Prevalence 4'!K6)</f>
        <v>0.59055860616216849</v>
      </c>
      <c r="I6" s="22">
        <f>'5d. Prevalence 4'!I6/('5d. Prevalence 4'!C6+'5d. Prevalence 4'!F6+'5d. Prevalence 4'!I6)</f>
        <v>4.2832456300134505E-2</v>
      </c>
      <c r="J6" s="22">
        <f>'5d. Prevalence 4'!J6/('5d. Prevalence 4'!D6+'5d. Prevalence 4'!G6+'5d. Prevalence 4'!J6)</f>
        <v>0.12271762303820061</v>
      </c>
      <c r="K6" s="22">
        <f>'5d. Prevalence 4'!K6/('5d. Prevalence 4'!E6+'5d. Prevalence 4'!H6+'5d. Prevalence 4'!K6)</f>
        <v>0.26823530786895977</v>
      </c>
      <c r="L6" s="24">
        <f t="shared" si="0"/>
        <v>1</v>
      </c>
      <c r="M6" s="24">
        <f t="shared" si="0"/>
        <v>1</v>
      </c>
      <c r="N6" s="24">
        <f t="shared" si="0"/>
        <v>0.99999999999999989</v>
      </c>
    </row>
    <row r="7" spans="1:14" x14ac:dyDescent="0.45">
      <c r="A7" s="16" t="s">
        <v>117</v>
      </c>
      <c r="B7" s="16" t="s">
        <v>113</v>
      </c>
      <c r="C7" s="21">
        <f>'5d. Prevalence 4'!C7/('5d. Prevalence 4'!C7+'5d. Prevalence 4'!F7+'5d. Prevalence 4'!I7)</f>
        <v>0.56072107484665823</v>
      </c>
      <c r="D7" s="21">
        <f>'5d. Prevalence 4'!D7/('5d. Prevalence 4'!D7+'5d. Prevalence 4'!G7+'5d. Prevalence 4'!J7)</f>
        <v>0.36026205517803828</v>
      </c>
      <c r="E7" s="21">
        <f>'5d. Prevalence 4'!E7/('5d. Prevalence 4'!E7+'5d. Prevalence 4'!H7+'5d. Prevalence 4'!K7)</f>
        <v>0.20123104043059747</v>
      </c>
      <c r="F7" s="21">
        <f>'5d. Prevalence 4'!F7/('5d. Prevalence 4'!C7+'5d. Prevalence 4'!F7+'5d. Prevalence 4'!I7)</f>
        <v>0.39858155225625042</v>
      </c>
      <c r="G7" s="21">
        <f>'5d. Prevalence 4'!G7/('5d. Prevalence 4'!D7+'5d. Prevalence 4'!G7+'5d. Prevalence 4'!J7)</f>
        <v>0.51371811656459432</v>
      </c>
      <c r="H7" s="21">
        <f>'5d. Prevalence 4'!H7/('5d. Prevalence 4'!E7+'5d. Prevalence 4'!H7+'5d. Prevalence 4'!K7)</f>
        <v>0.51265225110228596</v>
      </c>
      <c r="I7" s="21">
        <f>'5d. Prevalence 4'!I7/('5d. Prevalence 4'!C7+'5d. Prevalence 4'!F7+'5d. Prevalence 4'!I7)</f>
        <v>4.0697372897091418E-2</v>
      </c>
      <c r="J7" s="21">
        <f>'5d. Prevalence 4'!J7/('5d. Prevalence 4'!D7+'5d. Prevalence 4'!G7+'5d. Prevalence 4'!J7)</f>
        <v>0.12601982825736732</v>
      </c>
      <c r="K7" s="21">
        <f>'5d. Prevalence 4'!K7/('5d. Prevalence 4'!E7+'5d. Prevalence 4'!H7+'5d. Prevalence 4'!K7)</f>
        <v>0.28611670846711651</v>
      </c>
      <c r="L7" s="23">
        <f t="shared" si="0"/>
        <v>1</v>
      </c>
      <c r="M7" s="23">
        <f t="shared" si="0"/>
        <v>0.99999999999999989</v>
      </c>
      <c r="N7" s="23">
        <f t="shared" si="0"/>
        <v>1</v>
      </c>
    </row>
    <row r="8" spans="1:14" x14ac:dyDescent="0.45">
      <c r="A8" s="16" t="s">
        <v>117</v>
      </c>
      <c r="B8" s="16" t="s">
        <v>114</v>
      </c>
      <c r="C8" s="21">
        <f>'5d. Prevalence 4'!C8/('5d. Prevalence 4'!C8+'5d. Prevalence 4'!F8+'5d. Prevalence 4'!I8)</f>
        <v>0.48673930482051281</v>
      </c>
      <c r="D8" s="21">
        <f>'5d. Prevalence 4'!D8/('5d. Prevalence 4'!D8+'5d. Prevalence 4'!G8+'5d. Prevalence 4'!J8)</f>
        <v>0.29749310601623791</v>
      </c>
      <c r="E8" s="21">
        <f>'5d. Prevalence 4'!E8/('5d. Prevalence 4'!E8+'5d. Prevalence 4'!H8+'5d. Prevalence 4'!K8)</f>
        <v>0.1618324534941018</v>
      </c>
      <c r="F8" s="21">
        <f>'5d. Prevalence 4'!F8/('5d. Prevalence 4'!C8+'5d. Prevalence 4'!F8+'5d. Prevalence 4'!I8)</f>
        <v>0.47068541010190762</v>
      </c>
      <c r="G8" s="21">
        <f>'5d. Prevalence 4'!G8/('5d. Prevalence 4'!D8+'5d. Prevalence 4'!G8+'5d. Prevalence 4'!J8)</f>
        <v>0.57709494464758493</v>
      </c>
      <c r="H8" s="21">
        <f>'5d. Prevalence 4'!H8/('5d. Prevalence 4'!E8+'5d. Prevalence 4'!H8+'5d. Prevalence 4'!K8)</f>
        <v>0.56086394052742994</v>
      </c>
      <c r="I8" s="21">
        <f>'5d. Prevalence 4'!I8/('5d. Prevalence 4'!C8+'5d. Prevalence 4'!F8+'5d. Prevalence 4'!I8)</f>
        <v>4.2575285077579586E-2</v>
      </c>
      <c r="J8" s="21">
        <f>'5d. Prevalence 4'!J8/('5d. Prevalence 4'!D8+'5d. Prevalence 4'!G8+'5d. Prevalence 4'!J8)</f>
        <v>0.12541194933617719</v>
      </c>
      <c r="K8" s="21">
        <f>'5d. Prevalence 4'!K8/('5d. Prevalence 4'!E8+'5d. Prevalence 4'!H8+'5d. Prevalence 4'!K8)</f>
        <v>0.27730360597846831</v>
      </c>
      <c r="L8" s="23">
        <f t="shared" si="0"/>
        <v>1</v>
      </c>
      <c r="M8" s="23">
        <f t="shared" si="0"/>
        <v>1</v>
      </c>
      <c r="N8" s="23">
        <f t="shared" si="0"/>
        <v>1</v>
      </c>
    </row>
    <row r="9" spans="1:14" x14ac:dyDescent="0.45">
      <c r="A9" s="25" t="s">
        <v>118</v>
      </c>
      <c r="B9" s="25" t="s">
        <v>113</v>
      </c>
      <c r="C9" s="26">
        <f>'5d. Prevalence 4'!C9/('5d. Prevalence 4'!C9+'5d. Prevalence 4'!F9+'5d. Prevalence 4'!I9)</f>
        <v>0.65587992082387203</v>
      </c>
      <c r="D9" s="26">
        <f>'5d. Prevalence 4'!D9/('5d. Prevalence 4'!D9+'5d. Prevalence 4'!G9+'5d. Prevalence 4'!J9)</f>
        <v>0.44751253377023831</v>
      </c>
      <c r="E9" s="26">
        <f>'5d. Prevalence 4'!E9/('5d. Prevalence 4'!E9+'5d. Prevalence 4'!H9+'5d. Prevalence 4'!K9)</f>
        <v>0.2553497186186629</v>
      </c>
      <c r="F9" s="26">
        <f>'5d. Prevalence 4'!F9/('5d. Prevalence 4'!C9+'5d. Prevalence 4'!F9+'5d. Prevalence 4'!I9)</f>
        <v>0.30167436971581102</v>
      </c>
      <c r="G9" s="26">
        <f>'5d. Prevalence 4'!G9/('5d. Prevalence 4'!D9+'5d. Prevalence 4'!G9+'5d. Prevalence 4'!J9)</f>
        <v>0.41290992936544901</v>
      </c>
      <c r="H9" s="26">
        <f>'5d. Prevalence 4'!H9/('5d. Prevalence 4'!E9+'5d. Prevalence 4'!H9+'5d. Prevalence 4'!K9)</f>
        <v>0.42092725142580867</v>
      </c>
      <c r="I9" s="26">
        <f>'5d. Prevalence 4'!I9/('5d. Prevalence 4'!C9+'5d. Prevalence 4'!F9+'5d. Prevalence 4'!I9)</f>
        <v>4.2445709460316894E-2</v>
      </c>
      <c r="J9" s="26">
        <f>'5d. Prevalence 4'!J9/('5d. Prevalence 4'!D9+'5d. Prevalence 4'!G9+'5d. Prevalence 4'!J9)</f>
        <v>0.1395775368643126</v>
      </c>
      <c r="K9" s="26">
        <f>'5d. Prevalence 4'!K9/('5d. Prevalence 4'!E9+'5d. Prevalence 4'!H9+'5d. Prevalence 4'!K9)</f>
        <v>0.32372302995552837</v>
      </c>
      <c r="L9" s="28">
        <f t="shared" si="0"/>
        <v>0.99999999999999989</v>
      </c>
      <c r="M9" s="28">
        <f t="shared" si="0"/>
        <v>1</v>
      </c>
      <c r="N9" s="28">
        <f t="shared" si="0"/>
        <v>0.99999999999999989</v>
      </c>
    </row>
    <row r="10" spans="1:14" x14ac:dyDescent="0.45">
      <c r="A10" s="25" t="s">
        <v>118</v>
      </c>
      <c r="B10" s="25" t="s">
        <v>114</v>
      </c>
      <c r="C10" s="26">
        <f>'5d. Prevalence 4'!C10/('5d. Prevalence 4'!C10+'5d. Prevalence 4'!F10+'5d. Prevalence 4'!I10)</f>
        <v>0.58695456800695434</v>
      </c>
      <c r="D10" s="26">
        <f>'5d. Prevalence 4'!D10/('5d. Prevalence 4'!D10+'5d. Prevalence 4'!G10+'5d. Prevalence 4'!J10)</f>
        <v>0.38007121685920486</v>
      </c>
      <c r="E10" s="26">
        <f>'5d. Prevalence 4'!E10/('5d. Prevalence 4'!E10+'5d. Prevalence 4'!H10+'5d. Prevalence 4'!K10)</f>
        <v>0.20962762747148878</v>
      </c>
      <c r="F10" s="26">
        <f>'5d. Prevalence 4'!F10/('5d. Prevalence 4'!C10+'5d. Prevalence 4'!F10+'5d. Prevalence 4'!I10)</f>
        <v>0.36726756010284695</v>
      </c>
      <c r="G10" s="26">
        <f>'5d. Prevalence 4'!G10/('5d. Prevalence 4'!D10+'5d. Prevalence 4'!G10+'5d. Prevalence 4'!J10)</f>
        <v>0.47706670638511084</v>
      </c>
      <c r="H10" s="26">
        <f>'5d. Prevalence 4'!H10/('5d. Prevalence 4'!E10+'5d. Prevalence 4'!H10+'5d. Prevalence 4'!K10)</f>
        <v>0.47009343201215592</v>
      </c>
      <c r="I10" s="26">
        <f>'5d. Prevalence 4'!I10/('5d. Prevalence 4'!C10+'5d. Prevalence 4'!F10+'5d. Prevalence 4'!I10)</f>
        <v>4.5777871890198711E-2</v>
      </c>
      <c r="J10" s="26">
        <f>'5d. Prevalence 4'!J10/('5d. Prevalence 4'!D10+'5d. Prevalence 4'!G10+'5d. Prevalence 4'!J10)</f>
        <v>0.14286207675568427</v>
      </c>
      <c r="K10" s="26">
        <f>'5d. Prevalence 4'!K10/('5d. Prevalence 4'!E10+'5d. Prevalence 4'!H10+'5d. Prevalence 4'!K10)</f>
        <v>0.32027894051635519</v>
      </c>
      <c r="L10" s="28">
        <f t="shared" si="0"/>
        <v>1</v>
      </c>
      <c r="M10" s="28">
        <f t="shared" si="0"/>
        <v>1</v>
      </c>
      <c r="N10" s="28">
        <f t="shared" si="0"/>
        <v>0.99999999999999989</v>
      </c>
    </row>
  </sheetData>
  <mergeCells count="5">
    <mergeCell ref="A1:B2"/>
    <mergeCell ref="C1:E1"/>
    <mergeCell ref="F1:H1"/>
    <mergeCell ref="I1:K1"/>
    <mergeCell ref="L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3A41-8321-4B10-8600-445825C14BF8}">
  <dimension ref="A1:CI21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16" sqref="B16"/>
    </sheetView>
  </sheetViews>
  <sheetFormatPr defaultColWidth="8.73046875" defaultRowHeight="14.25" x14ac:dyDescent="0.45"/>
  <cols>
    <col min="1" max="1" width="68" style="13" customWidth="1"/>
    <col min="2" max="87" width="7" style="13" customWidth="1"/>
    <col min="88" max="16384" width="8.73046875" style="13"/>
  </cols>
  <sheetData>
    <row r="1" spans="1:87" ht="19.5" customHeight="1" x14ac:dyDescent="0.45">
      <c r="A1" s="29" t="s">
        <v>182</v>
      </c>
      <c r="B1" s="12" t="s">
        <v>183</v>
      </c>
      <c r="C1" s="12" t="s">
        <v>184</v>
      </c>
      <c r="D1" s="12" t="s">
        <v>185</v>
      </c>
      <c r="E1" s="12" t="s">
        <v>186</v>
      </c>
      <c r="F1" s="12" t="s">
        <v>187</v>
      </c>
      <c r="G1" s="12" t="s">
        <v>188</v>
      </c>
      <c r="H1" s="12" t="s">
        <v>189</v>
      </c>
      <c r="I1" s="12" t="s">
        <v>190</v>
      </c>
      <c r="J1" s="12" t="s">
        <v>191</v>
      </c>
      <c r="K1" s="12" t="s">
        <v>192</v>
      </c>
      <c r="L1" s="12" t="s">
        <v>193</v>
      </c>
      <c r="M1" s="12" t="s">
        <v>194</v>
      </c>
      <c r="N1" s="12" t="s">
        <v>195</v>
      </c>
      <c r="O1" s="12" t="s">
        <v>196</v>
      </c>
      <c r="P1" s="12" t="s">
        <v>197</v>
      </c>
      <c r="Q1" s="12" t="s">
        <v>198</v>
      </c>
      <c r="R1" s="12" t="s">
        <v>199</v>
      </c>
      <c r="S1" s="12" t="s">
        <v>200</v>
      </c>
      <c r="T1" s="12" t="s">
        <v>201</v>
      </c>
      <c r="U1" s="12" t="s">
        <v>202</v>
      </c>
      <c r="V1" s="12" t="s">
        <v>203</v>
      </c>
      <c r="W1" s="12" t="s">
        <v>204</v>
      </c>
      <c r="X1" s="12" t="s">
        <v>205</v>
      </c>
      <c r="Y1" s="12" t="s">
        <v>206</v>
      </c>
      <c r="Z1" s="12" t="s">
        <v>207</v>
      </c>
      <c r="AA1" s="12" t="s">
        <v>208</v>
      </c>
      <c r="AB1" s="12" t="s">
        <v>209</v>
      </c>
      <c r="AC1" s="12" t="s">
        <v>210</v>
      </c>
      <c r="AD1" s="12" t="s">
        <v>211</v>
      </c>
      <c r="AE1" s="12" t="s">
        <v>212</v>
      </c>
      <c r="AF1" s="12" t="s">
        <v>213</v>
      </c>
      <c r="AG1" s="12" t="s">
        <v>214</v>
      </c>
      <c r="AH1" s="12" t="s">
        <v>215</v>
      </c>
      <c r="AI1" s="12" t="s">
        <v>216</v>
      </c>
      <c r="AJ1" s="12" t="s">
        <v>217</v>
      </c>
      <c r="AK1" s="12" t="s">
        <v>218</v>
      </c>
      <c r="AL1" s="12" t="s">
        <v>219</v>
      </c>
      <c r="AM1" s="12" t="s">
        <v>220</v>
      </c>
      <c r="AN1" s="12" t="s">
        <v>221</v>
      </c>
      <c r="AO1" s="12" t="s">
        <v>222</v>
      </c>
      <c r="AP1" s="12" t="s">
        <v>223</v>
      </c>
      <c r="AQ1" s="12" t="s">
        <v>224</v>
      </c>
      <c r="AR1" s="12" t="s">
        <v>225</v>
      </c>
      <c r="AS1" s="12" t="s">
        <v>226</v>
      </c>
      <c r="AT1" s="12" t="s">
        <v>227</v>
      </c>
      <c r="AU1" s="12" t="s">
        <v>228</v>
      </c>
      <c r="AV1" s="12" t="s">
        <v>229</v>
      </c>
      <c r="AW1" s="12" t="s">
        <v>230</v>
      </c>
      <c r="AX1" s="12" t="s">
        <v>231</v>
      </c>
      <c r="AY1" s="12" t="s">
        <v>232</v>
      </c>
      <c r="AZ1" s="12" t="s">
        <v>233</v>
      </c>
      <c r="BA1" s="12" t="s">
        <v>234</v>
      </c>
      <c r="BB1" s="12" t="s">
        <v>235</v>
      </c>
      <c r="BC1" s="12" t="s">
        <v>236</v>
      </c>
      <c r="BD1" s="12" t="s">
        <v>237</v>
      </c>
      <c r="BE1" s="12" t="s">
        <v>238</v>
      </c>
      <c r="BF1" s="12" t="s">
        <v>239</v>
      </c>
      <c r="BG1" s="12" t="s">
        <v>240</v>
      </c>
      <c r="BH1" s="12" t="s">
        <v>241</v>
      </c>
      <c r="BI1" s="12" t="s">
        <v>242</v>
      </c>
      <c r="BJ1" s="12" t="s">
        <v>243</v>
      </c>
      <c r="BK1" s="12" t="s">
        <v>244</v>
      </c>
      <c r="BL1" s="12" t="s">
        <v>245</v>
      </c>
      <c r="BM1" s="12" t="s">
        <v>246</v>
      </c>
      <c r="BN1" s="12" t="s">
        <v>247</v>
      </c>
      <c r="BO1" s="12" t="s">
        <v>248</v>
      </c>
      <c r="BP1" s="12" t="s">
        <v>249</v>
      </c>
      <c r="BQ1" s="12" t="s">
        <v>250</v>
      </c>
      <c r="BR1" s="12" t="s">
        <v>251</v>
      </c>
      <c r="BS1" s="12" t="s">
        <v>252</v>
      </c>
      <c r="BT1" s="12" t="s">
        <v>253</v>
      </c>
      <c r="BU1" s="12" t="s">
        <v>254</v>
      </c>
      <c r="BV1" s="12" t="s">
        <v>255</v>
      </c>
      <c r="BW1" s="12" t="s">
        <v>256</v>
      </c>
      <c r="BX1" s="12" t="s">
        <v>257</v>
      </c>
      <c r="BY1" s="12" t="s">
        <v>258</v>
      </c>
      <c r="BZ1" s="12" t="s">
        <v>259</v>
      </c>
      <c r="CA1" s="12" t="s">
        <v>260</v>
      </c>
      <c r="CB1" s="12" t="s">
        <v>261</v>
      </c>
      <c r="CC1" s="12" t="s">
        <v>262</v>
      </c>
      <c r="CD1" s="12" t="s">
        <v>263</v>
      </c>
      <c r="CE1" s="12" t="s">
        <v>264</v>
      </c>
      <c r="CF1" s="12" t="s">
        <v>265</v>
      </c>
      <c r="CG1" s="12" t="s">
        <v>266</v>
      </c>
      <c r="CH1" s="12" t="s">
        <v>267</v>
      </c>
      <c r="CI1" s="12" t="s">
        <v>268</v>
      </c>
    </row>
    <row r="2" spans="1:87" x14ac:dyDescent="0.45">
      <c r="A2" s="25" t="s">
        <v>153</v>
      </c>
      <c r="B2" s="30">
        <v>0</v>
      </c>
      <c r="C2" s="30"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0">
        <v>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0</v>
      </c>
      <c r="AZ2" s="51">
        <f>AZ$19*BJ2/$BB$21</f>
        <v>3.0107073521279978E-3</v>
      </c>
      <c r="BA2" s="51">
        <f t="shared" ref="BA2:BI2" si="0">BA$19*BK2/$BB$21</f>
        <v>6.0214147042559956E-3</v>
      </c>
      <c r="BB2" s="51">
        <f t="shared" si="0"/>
        <v>9.0321220563839948E-3</v>
      </c>
      <c r="BC2" s="51">
        <f t="shared" si="0"/>
        <v>1.2042829408511991E-2</v>
      </c>
      <c r="BD2" s="51">
        <f t="shared" si="0"/>
        <v>1.505353676063999E-2</v>
      </c>
      <c r="BE2" s="51">
        <f t="shared" si="0"/>
        <v>1.806424411276799E-2</v>
      </c>
      <c r="BF2" s="51">
        <f t="shared" si="0"/>
        <v>2.1074951464895988E-2</v>
      </c>
      <c r="BG2" s="51">
        <f t="shared" si="0"/>
        <v>2.4085658817023983E-2</v>
      </c>
      <c r="BH2" s="51">
        <f t="shared" si="0"/>
        <v>2.7096366169151984E-2</v>
      </c>
      <c r="BI2" s="51">
        <f t="shared" si="0"/>
        <v>3.0107073521279979E-2</v>
      </c>
      <c r="BJ2" s="31">
        <f>'5e. Prevalence 5'!I3</f>
        <v>3.3117780873407977E-2</v>
      </c>
      <c r="BK2" s="31">
        <f>'5e. Prevalence 5'!I3</f>
        <v>3.3117780873407977E-2</v>
      </c>
      <c r="BL2" s="31">
        <f>'5e. Prevalence 5'!I3</f>
        <v>3.3117780873407977E-2</v>
      </c>
      <c r="BM2" s="31">
        <f>'5e. Prevalence 5'!I3</f>
        <v>3.3117780873407977E-2</v>
      </c>
      <c r="BN2" s="31">
        <f>'5e. Prevalence 5'!I3</f>
        <v>3.3117780873407977E-2</v>
      </c>
      <c r="BO2" s="31">
        <f>'5e. Prevalence 5'!I3</f>
        <v>3.3117780873407977E-2</v>
      </c>
      <c r="BP2" s="31">
        <f>'5e. Prevalence 5'!I3</f>
        <v>3.3117780873407977E-2</v>
      </c>
      <c r="BQ2" s="31">
        <f>'5e. Prevalence 5'!I3</f>
        <v>3.3117780873407977E-2</v>
      </c>
      <c r="BR2" s="31">
        <f>'5e. Prevalence 5'!I3</f>
        <v>3.3117780873407977E-2</v>
      </c>
      <c r="BS2" s="31">
        <f>'5e. Prevalence 5'!I3</f>
        <v>3.3117780873407977E-2</v>
      </c>
      <c r="BT2" s="31">
        <f>'5e. Prevalence 5'!I3</f>
        <v>3.3117780873407977E-2</v>
      </c>
      <c r="BU2" s="31">
        <f>'5e. Prevalence 5'!I3</f>
        <v>3.3117780873407977E-2</v>
      </c>
      <c r="BV2" s="31">
        <f>'5e. Prevalence 5'!I3</f>
        <v>3.3117780873407977E-2</v>
      </c>
      <c r="BW2" s="31">
        <f>'5e. Prevalence 5'!I3</f>
        <v>3.3117780873407977E-2</v>
      </c>
      <c r="BX2" s="31">
        <f>'5e. Prevalence 5'!I3</f>
        <v>3.3117780873407977E-2</v>
      </c>
      <c r="BY2" s="32">
        <f>'5e. Prevalence 5'!J3</f>
        <v>0.10804835916912281</v>
      </c>
      <c r="BZ2" s="32">
        <f>'5e. Prevalence 5'!J3</f>
        <v>0.10804835916912281</v>
      </c>
      <c r="CA2" s="32">
        <f>'5e. Prevalence 5'!J3</f>
        <v>0.10804835916912281</v>
      </c>
      <c r="CB2" s="32">
        <f>'5e. Prevalence 5'!J3</f>
        <v>0.10804835916912281</v>
      </c>
      <c r="CC2" s="32">
        <f>'5e. Prevalence 5'!J3</f>
        <v>0.10804835916912281</v>
      </c>
      <c r="CD2" s="32">
        <f>'5e. Prevalence 5'!J3</f>
        <v>0.10804835916912281</v>
      </c>
      <c r="CE2" s="32">
        <f>'5e. Prevalence 5'!J3</f>
        <v>0.10804835916912281</v>
      </c>
      <c r="CF2" s="32">
        <f>'5e. Prevalence 5'!J3</f>
        <v>0.10804835916912281</v>
      </c>
      <c r="CG2" s="32">
        <f>'5e. Prevalence 5'!J3</f>
        <v>0.10804835916912281</v>
      </c>
      <c r="CH2" s="32">
        <f>'5e. Prevalence 5'!J3</f>
        <v>0.10804835916912281</v>
      </c>
      <c r="CI2" s="33">
        <f>'5e. Prevalence 5'!K3</f>
        <v>0.25780987216874102</v>
      </c>
    </row>
    <row r="3" spans="1:87" x14ac:dyDescent="0.45">
      <c r="A3" s="25" t="s">
        <v>154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51">
        <f t="shared" ref="AZ3:AZ17" si="1">AZ$19*BJ3/$BB$21</f>
        <v>3.204032616396298E-3</v>
      </c>
      <c r="BA3" s="51">
        <f t="shared" ref="BA3:BA17" si="2">BA$19*BK3/$BB$21</f>
        <v>6.4080652327925961E-3</v>
      </c>
      <c r="BB3" s="51">
        <f t="shared" ref="BB3:BB17" si="3">BB$19*BL3/$BB$21</f>
        <v>9.6120978491888946E-3</v>
      </c>
      <c r="BC3" s="51">
        <f t="shared" ref="BC3:BC17" si="4">BC$19*BM3/$BB$21</f>
        <v>1.2816130465585192E-2</v>
      </c>
      <c r="BD3" s="51">
        <f t="shared" ref="BD3:BD17" si="5">BD$19*BN3/$BB$21</f>
        <v>1.6020163081981491E-2</v>
      </c>
      <c r="BE3" s="51">
        <f t="shared" ref="BE3:BE17" si="6">BE$19*BO3/$BB$21</f>
        <v>1.9224195698377789E-2</v>
      </c>
      <c r="BF3" s="51">
        <f t="shared" ref="BF3:BF17" si="7">BF$19*BP3/$BB$21</f>
        <v>2.2428228314774087E-2</v>
      </c>
      <c r="BG3" s="51">
        <f t="shared" ref="BG3:BG17" si="8">BG$19*BQ3/$BB$21</f>
        <v>2.5632260931170384E-2</v>
      </c>
      <c r="BH3" s="51">
        <f t="shared" ref="BH3:BH17" si="9">BH$19*BR3/$BB$21</f>
        <v>2.8836293547566682E-2</v>
      </c>
      <c r="BI3" s="51">
        <f t="shared" ref="BI3:BI17" si="10">BI$19*BS3/$BB$21</f>
        <v>3.2040326163962983E-2</v>
      </c>
      <c r="BJ3" s="31">
        <f>'5e. Prevalence 5'!I4</f>
        <v>3.5244358780359281E-2</v>
      </c>
      <c r="BK3" s="31">
        <f>'5e. Prevalence 5'!I4</f>
        <v>3.5244358780359281E-2</v>
      </c>
      <c r="BL3" s="31">
        <f>'5e. Prevalence 5'!I4</f>
        <v>3.5244358780359281E-2</v>
      </c>
      <c r="BM3" s="31">
        <f>'5e. Prevalence 5'!I4</f>
        <v>3.5244358780359281E-2</v>
      </c>
      <c r="BN3" s="31">
        <f>'5e. Prevalence 5'!I4</f>
        <v>3.5244358780359281E-2</v>
      </c>
      <c r="BO3" s="31">
        <f>'5e. Prevalence 5'!I4</f>
        <v>3.5244358780359281E-2</v>
      </c>
      <c r="BP3" s="31">
        <f>'5e. Prevalence 5'!I4</f>
        <v>3.5244358780359281E-2</v>
      </c>
      <c r="BQ3" s="31">
        <f>'5e. Prevalence 5'!I4</f>
        <v>3.5244358780359281E-2</v>
      </c>
      <c r="BR3" s="31">
        <f>'5e. Prevalence 5'!I4</f>
        <v>3.5244358780359281E-2</v>
      </c>
      <c r="BS3" s="31">
        <f>'5e. Prevalence 5'!I4</f>
        <v>3.5244358780359281E-2</v>
      </c>
      <c r="BT3" s="31">
        <f>'5e. Prevalence 5'!I4</f>
        <v>3.5244358780359281E-2</v>
      </c>
      <c r="BU3" s="31">
        <f>'5e. Prevalence 5'!I4</f>
        <v>3.5244358780359281E-2</v>
      </c>
      <c r="BV3" s="31">
        <f>'5e. Prevalence 5'!I4</f>
        <v>3.5244358780359281E-2</v>
      </c>
      <c r="BW3" s="31">
        <f>'5e. Prevalence 5'!I4</f>
        <v>3.5244358780359281E-2</v>
      </c>
      <c r="BX3" s="31">
        <f>'5e. Prevalence 5'!I4</f>
        <v>3.5244358780359281E-2</v>
      </c>
      <c r="BY3" s="32">
        <f>'5e. Prevalence 5'!J4</f>
        <v>0.10916871872487391</v>
      </c>
      <c r="BZ3" s="32">
        <f>'5e. Prevalence 5'!J4</f>
        <v>0.10916871872487391</v>
      </c>
      <c r="CA3" s="32">
        <f>'5e. Prevalence 5'!J4</f>
        <v>0.10916871872487391</v>
      </c>
      <c r="CB3" s="32">
        <f>'5e. Prevalence 5'!J4</f>
        <v>0.10916871872487391</v>
      </c>
      <c r="CC3" s="32">
        <f>'5e. Prevalence 5'!J4</f>
        <v>0.10916871872487391</v>
      </c>
      <c r="CD3" s="32">
        <f>'5e. Prevalence 5'!J4</f>
        <v>0.10916871872487391</v>
      </c>
      <c r="CE3" s="32">
        <f>'5e. Prevalence 5'!J4</f>
        <v>0.10916871872487391</v>
      </c>
      <c r="CF3" s="32">
        <f>'5e. Prevalence 5'!J4</f>
        <v>0.10916871872487391</v>
      </c>
      <c r="CG3" s="32">
        <f>'5e. Prevalence 5'!J4</f>
        <v>0.10916871872487391</v>
      </c>
      <c r="CH3" s="32">
        <f>'5e. Prevalence 5'!J4</f>
        <v>0.10916871872487391</v>
      </c>
      <c r="CI3" s="33">
        <f>'5e. Prevalence 5'!K4</f>
        <v>0.25222712297347016</v>
      </c>
    </row>
    <row r="4" spans="1:87" x14ac:dyDescent="0.45">
      <c r="A4" s="25" t="s">
        <v>155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51">
        <f t="shared" si="1"/>
        <v>3.7738621961182243E-3</v>
      </c>
      <c r="BA4" s="51">
        <f t="shared" si="2"/>
        <v>7.5477243922364486E-3</v>
      </c>
      <c r="BB4" s="51">
        <f t="shared" si="3"/>
        <v>1.1321586588354672E-2</v>
      </c>
      <c r="BC4" s="51">
        <f t="shared" si="4"/>
        <v>1.5095448784472897E-2</v>
      </c>
      <c r="BD4" s="51">
        <f t="shared" si="5"/>
        <v>1.8869310980591122E-2</v>
      </c>
      <c r="BE4" s="51">
        <f t="shared" si="6"/>
        <v>2.2643173176709344E-2</v>
      </c>
      <c r="BF4" s="51">
        <f t="shared" si="7"/>
        <v>2.6417035372827569E-2</v>
      </c>
      <c r="BG4" s="51">
        <f t="shared" si="8"/>
        <v>3.0190897568945795E-2</v>
      </c>
      <c r="BH4" s="51">
        <f t="shared" si="9"/>
        <v>3.3964759765064016E-2</v>
      </c>
      <c r="BI4" s="51">
        <f t="shared" si="10"/>
        <v>3.7738621961182245E-2</v>
      </c>
      <c r="BJ4" s="31">
        <f>'5e. Prevalence 5'!I5</f>
        <v>4.1512484157300467E-2</v>
      </c>
      <c r="BK4" s="31">
        <f>'5e. Prevalence 5'!I5</f>
        <v>4.1512484157300467E-2</v>
      </c>
      <c r="BL4" s="31">
        <f>'5e. Prevalence 5'!I5</f>
        <v>4.1512484157300467E-2</v>
      </c>
      <c r="BM4" s="31">
        <f>'5e. Prevalence 5'!I5</f>
        <v>4.1512484157300467E-2</v>
      </c>
      <c r="BN4" s="31">
        <f>'5e. Prevalence 5'!I5</f>
        <v>4.1512484157300467E-2</v>
      </c>
      <c r="BO4" s="31">
        <f>'5e. Prevalence 5'!I5</f>
        <v>4.1512484157300467E-2</v>
      </c>
      <c r="BP4" s="31">
        <f>'5e. Prevalence 5'!I5</f>
        <v>4.1512484157300467E-2</v>
      </c>
      <c r="BQ4" s="31">
        <f>'5e. Prevalence 5'!I5</f>
        <v>4.1512484157300467E-2</v>
      </c>
      <c r="BR4" s="31">
        <f>'5e. Prevalence 5'!I5</f>
        <v>4.1512484157300467E-2</v>
      </c>
      <c r="BS4" s="31">
        <f>'5e. Prevalence 5'!I5</f>
        <v>4.1512484157300467E-2</v>
      </c>
      <c r="BT4" s="31">
        <f>'5e. Prevalence 5'!I5</f>
        <v>4.1512484157300467E-2</v>
      </c>
      <c r="BU4" s="31">
        <f>'5e. Prevalence 5'!I5</f>
        <v>4.1512484157300467E-2</v>
      </c>
      <c r="BV4" s="31">
        <f>'5e. Prevalence 5'!I5</f>
        <v>4.1512484157300467E-2</v>
      </c>
      <c r="BW4" s="31">
        <f>'5e. Prevalence 5'!I5</f>
        <v>4.1512484157300467E-2</v>
      </c>
      <c r="BX4" s="31">
        <f>'5e. Prevalence 5'!I5</f>
        <v>4.1512484157300467E-2</v>
      </c>
      <c r="BY4" s="32">
        <f>'5e. Prevalence 5'!J5</f>
        <v>0.1247479770864766</v>
      </c>
      <c r="BZ4" s="32">
        <f>'5e. Prevalence 5'!J5</f>
        <v>0.1247479770864766</v>
      </c>
      <c r="CA4" s="32">
        <f>'5e. Prevalence 5'!J5</f>
        <v>0.1247479770864766</v>
      </c>
      <c r="CB4" s="32">
        <f>'5e. Prevalence 5'!J5</f>
        <v>0.1247479770864766</v>
      </c>
      <c r="CC4" s="32">
        <f>'5e. Prevalence 5'!J5</f>
        <v>0.1247479770864766</v>
      </c>
      <c r="CD4" s="32">
        <f>'5e. Prevalence 5'!J5</f>
        <v>0.1247479770864766</v>
      </c>
      <c r="CE4" s="32">
        <f>'5e. Prevalence 5'!J5</f>
        <v>0.1247479770864766</v>
      </c>
      <c r="CF4" s="32">
        <f>'5e. Prevalence 5'!J5</f>
        <v>0.1247479770864766</v>
      </c>
      <c r="CG4" s="32">
        <f>'5e. Prevalence 5'!J5</f>
        <v>0.1247479770864766</v>
      </c>
      <c r="CH4" s="32">
        <f>'5e. Prevalence 5'!J5</f>
        <v>0.1247479770864766</v>
      </c>
      <c r="CI4" s="33">
        <f>'5e. Prevalence 5'!K5</f>
        <v>0.27895342173984355</v>
      </c>
    </row>
    <row r="5" spans="1:87" x14ac:dyDescent="0.45">
      <c r="A5" s="25" t="s">
        <v>156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51">
        <f t="shared" si="1"/>
        <v>3.8938596636485913E-3</v>
      </c>
      <c r="BA5" s="51">
        <f t="shared" si="2"/>
        <v>7.7877193272971827E-3</v>
      </c>
      <c r="BB5" s="51">
        <f t="shared" si="3"/>
        <v>1.1681578990945775E-2</v>
      </c>
      <c r="BC5" s="51">
        <f t="shared" si="4"/>
        <v>1.5575438654594365E-2</v>
      </c>
      <c r="BD5" s="51">
        <f t="shared" si="5"/>
        <v>1.9469298318242956E-2</v>
      </c>
      <c r="BE5" s="51">
        <f t="shared" si="6"/>
        <v>2.336315798189155E-2</v>
      </c>
      <c r="BF5" s="51">
        <f t="shared" si="7"/>
        <v>2.725701764554014E-2</v>
      </c>
      <c r="BG5" s="51">
        <f t="shared" si="8"/>
        <v>3.1150877309188731E-2</v>
      </c>
      <c r="BH5" s="51">
        <f t="shared" si="9"/>
        <v>3.5044736972837325E-2</v>
      </c>
      <c r="BI5" s="51">
        <f t="shared" si="10"/>
        <v>3.8938596636485912E-2</v>
      </c>
      <c r="BJ5" s="31">
        <f>'5e. Prevalence 5'!I6</f>
        <v>4.2832456300134505E-2</v>
      </c>
      <c r="BK5" s="31">
        <f>'5e. Prevalence 5'!I6</f>
        <v>4.2832456300134505E-2</v>
      </c>
      <c r="BL5" s="31">
        <f>'5e. Prevalence 5'!I6</f>
        <v>4.2832456300134505E-2</v>
      </c>
      <c r="BM5" s="31">
        <f>'5e. Prevalence 5'!I6</f>
        <v>4.2832456300134505E-2</v>
      </c>
      <c r="BN5" s="31">
        <f>'5e. Prevalence 5'!I6</f>
        <v>4.2832456300134505E-2</v>
      </c>
      <c r="BO5" s="31">
        <f>'5e. Prevalence 5'!I6</f>
        <v>4.2832456300134505E-2</v>
      </c>
      <c r="BP5" s="31">
        <f>'5e. Prevalence 5'!I6</f>
        <v>4.2832456300134505E-2</v>
      </c>
      <c r="BQ5" s="31">
        <f>'5e. Prevalence 5'!I6</f>
        <v>4.2832456300134505E-2</v>
      </c>
      <c r="BR5" s="31">
        <f>'5e. Prevalence 5'!I6</f>
        <v>4.2832456300134505E-2</v>
      </c>
      <c r="BS5" s="31">
        <f>'5e. Prevalence 5'!I6</f>
        <v>4.2832456300134505E-2</v>
      </c>
      <c r="BT5" s="31">
        <f>'5e. Prevalence 5'!I6</f>
        <v>4.2832456300134505E-2</v>
      </c>
      <c r="BU5" s="31">
        <f>'5e. Prevalence 5'!I6</f>
        <v>4.2832456300134505E-2</v>
      </c>
      <c r="BV5" s="31">
        <f>'5e. Prevalence 5'!I6</f>
        <v>4.2832456300134505E-2</v>
      </c>
      <c r="BW5" s="31">
        <f>'5e. Prevalence 5'!I6</f>
        <v>4.2832456300134505E-2</v>
      </c>
      <c r="BX5" s="31">
        <f>'5e. Prevalence 5'!I6</f>
        <v>4.2832456300134505E-2</v>
      </c>
      <c r="BY5" s="32">
        <f>'5e. Prevalence 5'!J6</f>
        <v>0.12271762303820061</v>
      </c>
      <c r="BZ5" s="32">
        <f>'5e. Prevalence 5'!J6</f>
        <v>0.12271762303820061</v>
      </c>
      <c r="CA5" s="32">
        <f>'5e. Prevalence 5'!J6</f>
        <v>0.12271762303820061</v>
      </c>
      <c r="CB5" s="32">
        <f>'5e. Prevalence 5'!J6</f>
        <v>0.12271762303820061</v>
      </c>
      <c r="CC5" s="32">
        <f>'5e. Prevalence 5'!J6</f>
        <v>0.12271762303820061</v>
      </c>
      <c r="CD5" s="32">
        <f>'5e. Prevalence 5'!J6</f>
        <v>0.12271762303820061</v>
      </c>
      <c r="CE5" s="32">
        <f>'5e. Prevalence 5'!J6</f>
        <v>0.12271762303820061</v>
      </c>
      <c r="CF5" s="32">
        <f>'5e. Prevalence 5'!J6</f>
        <v>0.12271762303820061</v>
      </c>
      <c r="CG5" s="32">
        <f>'5e. Prevalence 5'!J6</f>
        <v>0.12271762303820061</v>
      </c>
      <c r="CH5" s="32">
        <f>'5e. Prevalence 5'!J6</f>
        <v>0.12271762303820061</v>
      </c>
      <c r="CI5" s="33">
        <f>'5e. Prevalence 5'!K6</f>
        <v>0.26823530786895977</v>
      </c>
    </row>
    <row r="6" spans="1:87" x14ac:dyDescent="0.45">
      <c r="A6" s="25" t="s">
        <v>157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51">
        <f t="shared" si="1"/>
        <v>3.6997611724628563E-3</v>
      </c>
      <c r="BA6" s="51">
        <f t="shared" si="2"/>
        <v>7.3995223449257125E-3</v>
      </c>
      <c r="BB6" s="51">
        <f t="shared" si="3"/>
        <v>1.1099283517388569E-2</v>
      </c>
      <c r="BC6" s="51">
        <f t="shared" si="4"/>
        <v>1.4799044689851425E-2</v>
      </c>
      <c r="BD6" s="51">
        <f t="shared" si="5"/>
        <v>1.8498805862314279E-2</v>
      </c>
      <c r="BE6" s="51">
        <f t="shared" si="6"/>
        <v>2.2198567034777138E-2</v>
      </c>
      <c r="BF6" s="51">
        <f t="shared" si="7"/>
        <v>2.5898328207239994E-2</v>
      </c>
      <c r="BG6" s="51">
        <f t="shared" si="8"/>
        <v>2.959808937970285E-2</v>
      </c>
      <c r="BH6" s="51">
        <f t="shared" si="9"/>
        <v>3.3297850552165706E-2</v>
      </c>
      <c r="BI6" s="51">
        <f t="shared" si="10"/>
        <v>3.6997611724628558E-2</v>
      </c>
      <c r="BJ6" s="31">
        <f>'5e. Prevalence 5'!I7</f>
        <v>4.0697372897091418E-2</v>
      </c>
      <c r="BK6" s="31">
        <f>'5e. Prevalence 5'!I7</f>
        <v>4.0697372897091418E-2</v>
      </c>
      <c r="BL6" s="31">
        <f>'5e. Prevalence 5'!I7</f>
        <v>4.0697372897091418E-2</v>
      </c>
      <c r="BM6" s="31">
        <f>'5e. Prevalence 5'!I7</f>
        <v>4.0697372897091418E-2</v>
      </c>
      <c r="BN6" s="31">
        <f>'5e. Prevalence 5'!I7</f>
        <v>4.0697372897091418E-2</v>
      </c>
      <c r="BO6" s="31">
        <f>'5e. Prevalence 5'!I7</f>
        <v>4.0697372897091418E-2</v>
      </c>
      <c r="BP6" s="31">
        <f>'5e. Prevalence 5'!I7</f>
        <v>4.0697372897091418E-2</v>
      </c>
      <c r="BQ6" s="31">
        <f>'5e. Prevalence 5'!I7</f>
        <v>4.0697372897091418E-2</v>
      </c>
      <c r="BR6" s="31">
        <f>'5e. Prevalence 5'!I7</f>
        <v>4.0697372897091418E-2</v>
      </c>
      <c r="BS6" s="31">
        <f>'5e. Prevalence 5'!I7</f>
        <v>4.0697372897091418E-2</v>
      </c>
      <c r="BT6" s="31">
        <f>'5e. Prevalence 5'!I7</f>
        <v>4.0697372897091418E-2</v>
      </c>
      <c r="BU6" s="31">
        <f>'5e. Prevalence 5'!I7</f>
        <v>4.0697372897091418E-2</v>
      </c>
      <c r="BV6" s="31">
        <f>'5e. Prevalence 5'!I7</f>
        <v>4.0697372897091418E-2</v>
      </c>
      <c r="BW6" s="31">
        <f>'5e. Prevalence 5'!I7</f>
        <v>4.0697372897091418E-2</v>
      </c>
      <c r="BX6" s="31">
        <f>'5e. Prevalence 5'!I7</f>
        <v>4.0697372897091418E-2</v>
      </c>
      <c r="BY6" s="32">
        <f>'5e. Prevalence 5'!J7</f>
        <v>0.12601982825736732</v>
      </c>
      <c r="BZ6" s="32">
        <f>'5e. Prevalence 5'!J7</f>
        <v>0.12601982825736732</v>
      </c>
      <c r="CA6" s="32">
        <f>'5e. Prevalence 5'!J7</f>
        <v>0.12601982825736732</v>
      </c>
      <c r="CB6" s="32">
        <f>'5e. Prevalence 5'!J7</f>
        <v>0.12601982825736732</v>
      </c>
      <c r="CC6" s="32">
        <f>'5e. Prevalence 5'!J7</f>
        <v>0.12601982825736732</v>
      </c>
      <c r="CD6" s="32">
        <f>'5e. Prevalence 5'!J7</f>
        <v>0.12601982825736732</v>
      </c>
      <c r="CE6" s="32">
        <f>'5e. Prevalence 5'!J7</f>
        <v>0.12601982825736732</v>
      </c>
      <c r="CF6" s="32">
        <f>'5e. Prevalence 5'!J7</f>
        <v>0.12601982825736732</v>
      </c>
      <c r="CG6" s="32">
        <f>'5e. Prevalence 5'!J7</f>
        <v>0.12601982825736732</v>
      </c>
      <c r="CH6" s="32">
        <f>'5e. Prevalence 5'!J7</f>
        <v>0.12601982825736732</v>
      </c>
      <c r="CI6" s="33">
        <f>'5e. Prevalence 5'!K7</f>
        <v>0.28611670846711651</v>
      </c>
    </row>
    <row r="7" spans="1:87" x14ac:dyDescent="0.45">
      <c r="A7" s="25" t="s">
        <v>158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51">
        <f t="shared" si="1"/>
        <v>3.8704804615981442E-3</v>
      </c>
      <c r="BA7" s="51">
        <f t="shared" si="2"/>
        <v>7.7409609231962884E-3</v>
      </c>
      <c r="BB7" s="51">
        <f t="shared" si="3"/>
        <v>1.1611441384794434E-2</v>
      </c>
      <c r="BC7" s="51">
        <f t="shared" si="4"/>
        <v>1.5481921846392577E-2</v>
      </c>
      <c r="BD7" s="51">
        <f t="shared" si="5"/>
        <v>1.9352402307990721E-2</v>
      </c>
      <c r="BE7" s="51">
        <f t="shared" si="6"/>
        <v>2.3222882769588869E-2</v>
      </c>
      <c r="BF7" s="51">
        <f t="shared" si="7"/>
        <v>2.7093363231187009E-2</v>
      </c>
      <c r="BG7" s="51">
        <f t="shared" si="8"/>
        <v>3.0963843692785153E-2</v>
      </c>
      <c r="BH7" s="51">
        <f t="shared" si="9"/>
        <v>3.4834324154383298E-2</v>
      </c>
      <c r="BI7" s="51">
        <f t="shared" si="10"/>
        <v>3.8704804615981442E-2</v>
      </c>
      <c r="BJ7" s="31">
        <f>'5e. Prevalence 5'!I8</f>
        <v>4.2575285077579586E-2</v>
      </c>
      <c r="BK7" s="31">
        <f>'5e. Prevalence 5'!I8</f>
        <v>4.2575285077579586E-2</v>
      </c>
      <c r="BL7" s="31">
        <f>'5e. Prevalence 5'!I8</f>
        <v>4.2575285077579586E-2</v>
      </c>
      <c r="BM7" s="31">
        <f>'5e. Prevalence 5'!I8</f>
        <v>4.2575285077579586E-2</v>
      </c>
      <c r="BN7" s="31">
        <f>'5e. Prevalence 5'!I8</f>
        <v>4.2575285077579586E-2</v>
      </c>
      <c r="BO7" s="31">
        <f>'5e. Prevalence 5'!I8</f>
        <v>4.2575285077579586E-2</v>
      </c>
      <c r="BP7" s="31">
        <f>'5e. Prevalence 5'!I8</f>
        <v>4.2575285077579586E-2</v>
      </c>
      <c r="BQ7" s="31">
        <f>'5e. Prevalence 5'!I8</f>
        <v>4.2575285077579586E-2</v>
      </c>
      <c r="BR7" s="31">
        <f>'5e. Prevalence 5'!I8</f>
        <v>4.2575285077579586E-2</v>
      </c>
      <c r="BS7" s="31">
        <f>'5e. Prevalence 5'!I8</f>
        <v>4.2575285077579586E-2</v>
      </c>
      <c r="BT7" s="31">
        <f>'5e. Prevalence 5'!I8</f>
        <v>4.2575285077579586E-2</v>
      </c>
      <c r="BU7" s="31">
        <f>'5e. Prevalence 5'!I8</f>
        <v>4.2575285077579586E-2</v>
      </c>
      <c r="BV7" s="31">
        <f>'5e. Prevalence 5'!I8</f>
        <v>4.2575285077579586E-2</v>
      </c>
      <c r="BW7" s="31">
        <f>'5e. Prevalence 5'!I8</f>
        <v>4.2575285077579586E-2</v>
      </c>
      <c r="BX7" s="31">
        <f>'5e. Prevalence 5'!I8</f>
        <v>4.2575285077579586E-2</v>
      </c>
      <c r="BY7" s="32">
        <f>'5e. Prevalence 5'!J8</f>
        <v>0.12541194933617719</v>
      </c>
      <c r="BZ7" s="32">
        <f>'5e. Prevalence 5'!J8</f>
        <v>0.12541194933617719</v>
      </c>
      <c r="CA7" s="32">
        <f>'5e. Prevalence 5'!J8</f>
        <v>0.12541194933617719</v>
      </c>
      <c r="CB7" s="32">
        <f>'5e. Prevalence 5'!J8</f>
        <v>0.12541194933617719</v>
      </c>
      <c r="CC7" s="32">
        <f>'5e. Prevalence 5'!J8</f>
        <v>0.12541194933617719</v>
      </c>
      <c r="CD7" s="32">
        <f>'5e. Prevalence 5'!J8</f>
        <v>0.12541194933617719</v>
      </c>
      <c r="CE7" s="32">
        <f>'5e. Prevalence 5'!J8</f>
        <v>0.12541194933617719</v>
      </c>
      <c r="CF7" s="32">
        <f>'5e. Prevalence 5'!J8</f>
        <v>0.12541194933617719</v>
      </c>
      <c r="CG7" s="32">
        <f>'5e. Prevalence 5'!J8</f>
        <v>0.12541194933617719</v>
      </c>
      <c r="CH7" s="32">
        <f>'5e. Prevalence 5'!J8</f>
        <v>0.12541194933617719</v>
      </c>
      <c r="CI7" s="33">
        <f>'5e. Prevalence 5'!K8</f>
        <v>0.27730360597846831</v>
      </c>
    </row>
    <row r="8" spans="1:87" x14ac:dyDescent="0.45">
      <c r="A8" s="25" t="s">
        <v>159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51">
        <f t="shared" si="1"/>
        <v>3.8587008600288086E-3</v>
      </c>
      <c r="BA8" s="51">
        <f t="shared" si="2"/>
        <v>7.7174017200576173E-3</v>
      </c>
      <c r="BB8" s="51">
        <f t="shared" si="3"/>
        <v>1.1576102580086426E-2</v>
      </c>
      <c r="BC8" s="51">
        <f t="shared" si="4"/>
        <v>1.5434803440115235E-2</v>
      </c>
      <c r="BD8" s="51">
        <f t="shared" si="5"/>
        <v>1.9293504300144041E-2</v>
      </c>
      <c r="BE8" s="51">
        <f t="shared" si="6"/>
        <v>2.3152205160172853E-2</v>
      </c>
      <c r="BF8" s="51">
        <f t="shared" si="7"/>
        <v>2.7010906020201661E-2</v>
      </c>
      <c r="BG8" s="51">
        <f t="shared" si="8"/>
        <v>3.0869606880230469E-2</v>
      </c>
      <c r="BH8" s="51">
        <f t="shared" si="9"/>
        <v>3.4728307740259277E-2</v>
      </c>
      <c r="BI8" s="51">
        <f t="shared" si="10"/>
        <v>3.8587008600288082E-2</v>
      </c>
      <c r="BJ8" s="31">
        <f>'5e. Prevalence 5'!I9</f>
        <v>4.2445709460316894E-2</v>
      </c>
      <c r="BK8" s="31">
        <f>'5e. Prevalence 5'!I9</f>
        <v>4.2445709460316894E-2</v>
      </c>
      <c r="BL8" s="31">
        <f>'5e. Prevalence 5'!I9</f>
        <v>4.2445709460316894E-2</v>
      </c>
      <c r="BM8" s="31">
        <f>'5e. Prevalence 5'!I9</f>
        <v>4.2445709460316894E-2</v>
      </c>
      <c r="BN8" s="31">
        <f>'5e. Prevalence 5'!I9</f>
        <v>4.2445709460316894E-2</v>
      </c>
      <c r="BO8" s="31">
        <f>'5e. Prevalence 5'!I9</f>
        <v>4.2445709460316894E-2</v>
      </c>
      <c r="BP8" s="31">
        <f>'5e. Prevalence 5'!I9</f>
        <v>4.2445709460316894E-2</v>
      </c>
      <c r="BQ8" s="31">
        <f>'5e. Prevalence 5'!I9</f>
        <v>4.2445709460316894E-2</v>
      </c>
      <c r="BR8" s="31">
        <f>'5e. Prevalence 5'!I9</f>
        <v>4.2445709460316894E-2</v>
      </c>
      <c r="BS8" s="31">
        <f>'5e. Prevalence 5'!I9</f>
        <v>4.2445709460316894E-2</v>
      </c>
      <c r="BT8" s="31">
        <f>'5e. Prevalence 5'!I9</f>
        <v>4.2445709460316894E-2</v>
      </c>
      <c r="BU8" s="31">
        <f>'5e. Prevalence 5'!I9</f>
        <v>4.2445709460316894E-2</v>
      </c>
      <c r="BV8" s="31">
        <f>'5e. Prevalence 5'!I9</f>
        <v>4.2445709460316894E-2</v>
      </c>
      <c r="BW8" s="31">
        <f>'5e. Prevalence 5'!I9</f>
        <v>4.2445709460316894E-2</v>
      </c>
      <c r="BX8" s="31">
        <f>'5e. Prevalence 5'!I9</f>
        <v>4.2445709460316894E-2</v>
      </c>
      <c r="BY8" s="32">
        <f>'5e. Prevalence 5'!J9</f>
        <v>0.1395775368643126</v>
      </c>
      <c r="BZ8" s="32">
        <f>'5e. Prevalence 5'!J9</f>
        <v>0.1395775368643126</v>
      </c>
      <c r="CA8" s="32">
        <f>'5e. Prevalence 5'!J9</f>
        <v>0.1395775368643126</v>
      </c>
      <c r="CB8" s="32">
        <f>'5e. Prevalence 5'!J9</f>
        <v>0.1395775368643126</v>
      </c>
      <c r="CC8" s="32">
        <f>'5e. Prevalence 5'!J9</f>
        <v>0.1395775368643126</v>
      </c>
      <c r="CD8" s="32">
        <f>'5e. Prevalence 5'!J9</f>
        <v>0.1395775368643126</v>
      </c>
      <c r="CE8" s="32">
        <f>'5e. Prevalence 5'!J9</f>
        <v>0.1395775368643126</v>
      </c>
      <c r="CF8" s="32">
        <f>'5e. Prevalence 5'!J9</f>
        <v>0.1395775368643126</v>
      </c>
      <c r="CG8" s="32">
        <f>'5e. Prevalence 5'!J9</f>
        <v>0.1395775368643126</v>
      </c>
      <c r="CH8" s="32">
        <f>'5e. Prevalence 5'!J9</f>
        <v>0.1395775368643126</v>
      </c>
      <c r="CI8" s="33">
        <f>'5e. Prevalence 5'!K9</f>
        <v>0.32372302995552837</v>
      </c>
    </row>
    <row r="9" spans="1:87" x14ac:dyDescent="0.45">
      <c r="A9" s="25" t="s">
        <v>160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51">
        <f t="shared" si="1"/>
        <v>4.1616247172907919E-3</v>
      </c>
      <c r="BA9" s="51">
        <f t="shared" si="2"/>
        <v>8.3232494345815838E-3</v>
      </c>
      <c r="BB9" s="51">
        <f t="shared" si="3"/>
        <v>1.2484874151872376E-2</v>
      </c>
      <c r="BC9" s="51">
        <f t="shared" si="4"/>
        <v>1.6646498869163168E-2</v>
      </c>
      <c r="BD9" s="51">
        <f t="shared" si="5"/>
        <v>2.080812358645396E-2</v>
      </c>
      <c r="BE9" s="51">
        <f t="shared" si="6"/>
        <v>2.4969748303744752E-2</v>
      </c>
      <c r="BF9" s="51">
        <f t="shared" si="7"/>
        <v>2.9131373021035543E-2</v>
      </c>
      <c r="BG9" s="51">
        <f t="shared" si="8"/>
        <v>3.3292997738326335E-2</v>
      </c>
      <c r="BH9" s="51">
        <f t="shared" si="9"/>
        <v>3.7454622455617127E-2</v>
      </c>
      <c r="BI9" s="51">
        <f t="shared" si="10"/>
        <v>4.1616247172907919E-2</v>
      </c>
      <c r="BJ9" s="31">
        <f>'5e. Prevalence 5'!I10</f>
        <v>4.5777871890198711E-2</v>
      </c>
      <c r="BK9" s="31">
        <f>'5e. Prevalence 5'!I10</f>
        <v>4.5777871890198711E-2</v>
      </c>
      <c r="BL9" s="31">
        <f>'5e. Prevalence 5'!I10</f>
        <v>4.5777871890198711E-2</v>
      </c>
      <c r="BM9" s="31">
        <f>'5e. Prevalence 5'!I10</f>
        <v>4.5777871890198711E-2</v>
      </c>
      <c r="BN9" s="31">
        <f>'5e. Prevalence 5'!I10</f>
        <v>4.5777871890198711E-2</v>
      </c>
      <c r="BO9" s="31">
        <f>'5e. Prevalence 5'!I10</f>
        <v>4.5777871890198711E-2</v>
      </c>
      <c r="BP9" s="31">
        <f>'5e. Prevalence 5'!I10</f>
        <v>4.5777871890198711E-2</v>
      </c>
      <c r="BQ9" s="31">
        <f>'5e. Prevalence 5'!I10</f>
        <v>4.5777871890198711E-2</v>
      </c>
      <c r="BR9" s="31">
        <f>'5e. Prevalence 5'!I10</f>
        <v>4.5777871890198711E-2</v>
      </c>
      <c r="BS9" s="31">
        <f>'5e. Prevalence 5'!I10</f>
        <v>4.5777871890198711E-2</v>
      </c>
      <c r="BT9" s="31">
        <f>'5e. Prevalence 5'!I10</f>
        <v>4.5777871890198711E-2</v>
      </c>
      <c r="BU9" s="31">
        <f>'5e. Prevalence 5'!I10</f>
        <v>4.5777871890198711E-2</v>
      </c>
      <c r="BV9" s="31">
        <f>'5e. Prevalence 5'!I10</f>
        <v>4.5777871890198711E-2</v>
      </c>
      <c r="BW9" s="31">
        <f>'5e. Prevalence 5'!I10</f>
        <v>4.5777871890198711E-2</v>
      </c>
      <c r="BX9" s="31">
        <f>'5e. Prevalence 5'!I10</f>
        <v>4.5777871890198711E-2</v>
      </c>
      <c r="BY9" s="32">
        <f>'5e. Prevalence 5'!J10</f>
        <v>0.14286207675568427</v>
      </c>
      <c r="BZ9" s="32">
        <f>'5e. Prevalence 5'!J10</f>
        <v>0.14286207675568427</v>
      </c>
      <c r="CA9" s="32">
        <f>'5e. Prevalence 5'!J10</f>
        <v>0.14286207675568427</v>
      </c>
      <c r="CB9" s="32">
        <f>'5e. Prevalence 5'!J10</f>
        <v>0.14286207675568427</v>
      </c>
      <c r="CC9" s="32">
        <f>'5e. Prevalence 5'!J10</f>
        <v>0.14286207675568427</v>
      </c>
      <c r="CD9" s="32">
        <f>'5e. Prevalence 5'!J10</f>
        <v>0.14286207675568427</v>
      </c>
      <c r="CE9" s="32">
        <f>'5e. Prevalence 5'!J10</f>
        <v>0.14286207675568427</v>
      </c>
      <c r="CF9" s="32">
        <f>'5e. Prevalence 5'!J10</f>
        <v>0.14286207675568427</v>
      </c>
      <c r="CG9" s="32">
        <f>'5e. Prevalence 5'!J10</f>
        <v>0.14286207675568427</v>
      </c>
      <c r="CH9" s="32">
        <f>'5e. Prevalence 5'!J10</f>
        <v>0.14286207675568427</v>
      </c>
      <c r="CI9" s="33">
        <f>'5e. Prevalence 5'!K10</f>
        <v>0.32027894051635519</v>
      </c>
    </row>
    <row r="10" spans="1:87" x14ac:dyDescent="0.45">
      <c r="A10" s="16" t="s">
        <v>161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51">
        <f t="shared" si="1"/>
        <v>3.1692980136972013E-2</v>
      </c>
      <c r="BA10" s="51">
        <f t="shared" si="2"/>
        <v>6.3385960273944025E-2</v>
      </c>
      <c r="BB10" s="51">
        <f t="shared" si="3"/>
        <v>9.5078940410916038E-2</v>
      </c>
      <c r="BC10" s="51">
        <f t="shared" si="4"/>
        <v>0.12677192054788805</v>
      </c>
      <c r="BD10" s="51">
        <f t="shared" si="5"/>
        <v>0.15846490068486005</v>
      </c>
      <c r="BE10" s="51">
        <f t="shared" si="6"/>
        <v>0.19015788082183208</v>
      </c>
      <c r="BF10" s="51">
        <f t="shared" si="7"/>
        <v>0.2218508609588041</v>
      </c>
      <c r="BG10" s="51">
        <f t="shared" si="8"/>
        <v>0.2535438410957761</v>
      </c>
      <c r="BH10" s="51">
        <f t="shared" si="9"/>
        <v>0.28523682123274807</v>
      </c>
      <c r="BI10" s="51">
        <f t="shared" si="10"/>
        <v>0.3169298013697201</v>
      </c>
      <c r="BJ10" s="31">
        <f>'5e. Prevalence 5'!F3</f>
        <v>0.34862278150669213</v>
      </c>
      <c r="BK10" s="31">
        <f>'5e. Prevalence 5'!F3</f>
        <v>0.34862278150669213</v>
      </c>
      <c r="BL10" s="31">
        <f>'5e. Prevalence 5'!F3</f>
        <v>0.34862278150669213</v>
      </c>
      <c r="BM10" s="31">
        <f>'5e. Prevalence 5'!F3</f>
        <v>0.34862278150669213</v>
      </c>
      <c r="BN10" s="31">
        <f>'5e. Prevalence 5'!F3</f>
        <v>0.34862278150669213</v>
      </c>
      <c r="BO10" s="31">
        <f>'5e. Prevalence 5'!F3</f>
        <v>0.34862278150669213</v>
      </c>
      <c r="BP10" s="31">
        <f>'5e. Prevalence 5'!F3</f>
        <v>0.34862278150669213</v>
      </c>
      <c r="BQ10" s="31">
        <f>'5e. Prevalence 5'!F3</f>
        <v>0.34862278150669213</v>
      </c>
      <c r="BR10" s="31">
        <f>'5e. Prevalence 5'!F3</f>
        <v>0.34862278150669213</v>
      </c>
      <c r="BS10" s="31">
        <f>'5e. Prevalence 5'!F3</f>
        <v>0.34862278150669213</v>
      </c>
      <c r="BT10" s="31">
        <f>'5e. Prevalence 5'!F3</f>
        <v>0.34862278150669213</v>
      </c>
      <c r="BU10" s="31">
        <f>'5e. Prevalence 5'!F3</f>
        <v>0.34862278150669213</v>
      </c>
      <c r="BV10" s="31">
        <f>'5e. Prevalence 5'!F3</f>
        <v>0.34862278150669213</v>
      </c>
      <c r="BW10" s="31">
        <f>'5e. Prevalence 5'!F3</f>
        <v>0.34862278150669213</v>
      </c>
      <c r="BX10" s="31">
        <f>'5e. Prevalence 5'!F3</f>
        <v>0.34862278150669213</v>
      </c>
      <c r="BY10" s="32">
        <f>'5e. Prevalence 5'!G3</f>
        <v>0.47342140603335259</v>
      </c>
      <c r="BZ10" s="32">
        <f>'5e. Prevalence 5'!G3</f>
        <v>0.47342140603335259</v>
      </c>
      <c r="CA10" s="32">
        <f>'5e. Prevalence 5'!G3</f>
        <v>0.47342140603335259</v>
      </c>
      <c r="CB10" s="32">
        <f>'5e. Prevalence 5'!G3</f>
        <v>0.47342140603335259</v>
      </c>
      <c r="CC10" s="32">
        <f>'5e. Prevalence 5'!G3</f>
        <v>0.47342140603335259</v>
      </c>
      <c r="CD10" s="32">
        <f>'5e. Prevalence 5'!G3</f>
        <v>0.47342140603335259</v>
      </c>
      <c r="CE10" s="32">
        <f>'5e. Prevalence 5'!G3</f>
        <v>0.47342140603335259</v>
      </c>
      <c r="CF10" s="32">
        <f>'5e. Prevalence 5'!G3</f>
        <v>0.47342140603335259</v>
      </c>
      <c r="CG10" s="32">
        <f>'5e. Prevalence 5'!G3</f>
        <v>0.47342140603335259</v>
      </c>
      <c r="CH10" s="32">
        <f>'5e. Prevalence 5'!G3</f>
        <v>0.47342140603335259</v>
      </c>
      <c r="CI10" s="33">
        <f>'5e. Prevalence 5'!H3</f>
        <v>0.49650417955428156</v>
      </c>
    </row>
    <row r="11" spans="1:87" x14ac:dyDescent="0.45">
      <c r="A11" s="16" t="s">
        <v>162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51">
        <f t="shared" si="1"/>
        <v>3.8072712307428459E-2</v>
      </c>
      <c r="BA11" s="51">
        <f t="shared" si="2"/>
        <v>7.6145424614856919E-2</v>
      </c>
      <c r="BB11" s="51">
        <f t="shared" si="3"/>
        <v>0.11421813692228538</v>
      </c>
      <c r="BC11" s="51">
        <f t="shared" si="4"/>
        <v>0.15229084922971384</v>
      </c>
      <c r="BD11" s="51">
        <f t="shared" si="5"/>
        <v>0.19036356153714229</v>
      </c>
      <c r="BE11" s="51">
        <f t="shared" si="6"/>
        <v>0.22843627384457077</v>
      </c>
      <c r="BF11" s="51">
        <f t="shared" si="7"/>
        <v>0.26650898615199919</v>
      </c>
      <c r="BG11" s="51">
        <f t="shared" si="8"/>
        <v>0.30458169845942767</v>
      </c>
      <c r="BH11" s="51">
        <f t="shared" si="9"/>
        <v>0.34265441076685615</v>
      </c>
      <c r="BI11" s="51">
        <f t="shared" si="10"/>
        <v>0.38072712307428458</v>
      </c>
      <c r="BJ11" s="31">
        <f>'5e. Prevalence 5'!F4</f>
        <v>0.41879983538171306</v>
      </c>
      <c r="BK11" s="31">
        <f>'5e. Prevalence 5'!F4</f>
        <v>0.41879983538171306</v>
      </c>
      <c r="BL11" s="31">
        <f>'5e. Prevalence 5'!F4</f>
        <v>0.41879983538171306</v>
      </c>
      <c r="BM11" s="31">
        <f>'5e. Prevalence 5'!F4</f>
        <v>0.41879983538171306</v>
      </c>
      <c r="BN11" s="31">
        <f>'5e. Prevalence 5'!F4</f>
        <v>0.41879983538171306</v>
      </c>
      <c r="BO11" s="31">
        <f>'5e. Prevalence 5'!F4</f>
        <v>0.41879983538171306</v>
      </c>
      <c r="BP11" s="31">
        <f>'5e. Prevalence 5'!F4</f>
        <v>0.41879983538171306</v>
      </c>
      <c r="BQ11" s="31">
        <f>'5e. Prevalence 5'!F4</f>
        <v>0.41879983538171306</v>
      </c>
      <c r="BR11" s="31">
        <f>'5e. Prevalence 5'!F4</f>
        <v>0.41879983538171306</v>
      </c>
      <c r="BS11" s="31">
        <f>'5e. Prevalence 5'!F4</f>
        <v>0.41879983538171306</v>
      </c>
      <c r="BT11" s="31">
        <f>'5e. Prevalence 5'!F4</f>
        <v>0.41879983538171306</v>
      </c>
      <c r="BU11" s="31">
        <f>'5e. Prevalence 5'!F4</f>
        <v>0.41879983538171306</v>
      </c>
      <c r="BV11" s="31">
        <f>'5e. Prevalence 5'!F4</f>
        <v>0.41879983538171306</v>
      </c>
      <c r="BW11" s="31">
        <f>'5e. Prevalence 5'!F4</f>
        <v>0.41879983538171306</v>
      </c>
      <c r="BX11" s="31">
        <f>'5e. Prevalence 5'!F4</f>
        <v>0.41879983538171306</v>
      </c>
      <c r="BY11" s="32">
        <f>'5e. Prevalence 5'!G4</f>
        <v>0.53994594180539168</v>
      </c>
      <c r="BZ11" s="32">
        <f>'5e. Prevalence 5'!G4</f>
        <v>0.53994594180539168</v>
      </c>
      <c r="CA11" s="32">
        <f>'5e. Prevalence 5'!G4</f>
        <v>0.53994594180539168</v>
      </c>
      <c r="CB11" s="32">
        <f>'5e. Prevalence 5'!G4</f>
        <v>0.53994594180539168</v>
      </c>
      <c r="CC11" s="32">
        <f>'5e. Prevalence 5'!G4</f>
        <v>0.53994594180539168</v>
      </c>
      <c r="CD11" s="32">
        <f>'5e. Prevalence 5'!G4</f>
        <v>0.53994594180539168</v>
      </c>
      <c r="CE11" s="32">
        <f>'5e. Prevalence 5'!G4</f>
        <v>0.53994594180539168</v>
      </c>
      <c r="CF11" s="32">
        <f>'5e. Prevalence 5'!G4</f>
        <v>0.53994594180539168</v>
      </c>
      <c r="CG11" s="32">
        <f>'5e. Prevalence 5'!G4</f>
        <v>0.53994594180539168</v>
      </c>
      <c r="CH11" s="32">
        <f>'5e. Prevalence 5'!G4</f>
        <v>0.53994594180539168</v>
      </c>
      <c r="CI11" s="33">
        <f>'5e. Prevalence 5'!H4</f>
        <v>0.54832431489987699</v>
      </c>
    </row>
    <row r="12" spans="1:87" x14ac:dyDescent="0.45">
      <c r="A12" s="16" t="s">
        <v>163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51">
        <f t="shared" si="1"/>
        <v>4.0232953361493608E-2</v>
      </c>
      <c r="BA12" s="51">
        <f t="shared" si="2"/>
        <v>8.0465906722987215E-2</v>
      </c>
      <c r="BB12" s="51">
        <f t="shared" si="3"/>
        <v>0.12069886008448082</v>
      </c>
      <c r="BC12" s="51">
        <f t="shared" si="4"/>
        <v>0.16093181344597443</v>
      </c>
      <c r="BD12" s="51">
        <f t="shared" si="5"/>
        <v>0.20116476680746806</v>
      </c>
      <c r="BE12" s="51">
        <f t="shared" si="6"/>
        <v>0.24139772016896163</v>
      </c>
      <c r="BF12" s="51">
        <f t="shared" si="7"/>
        <v>0.28163067353045529</v>
      </c>
      <c r="BG12" s="51">
        <f t="shared" si="8"/>
        <v>0.32186362689194886</v>
      </c>
      <c r="BH12" s="51">
        <f t="shared" si="9"/>
        <v>0.36209658025344243</v>
      </c>
      <c r="BI12" s="51">
        <f t="shared" si="10"/>
        <v>0.40232953361493612</v>
      </c>
      <c r="BJ12" s="31">
        <f>'5e. Prevalence 5'!F5</f>
        <v>0.44256248697642969</v>
      </c>
      <c r="BK12" s="31">
        <f>'5e. Prevalence 5'!F5</f>
        <v>0.44256248697642969</v>
      </c>
      <c r="BL12" s="31">
        <f>'5e. Prevalence 5'!F5</f>
        <v>0.44256248697642969</v>
      </c>
      <c r="BM12" s="31">
        <f>'5e. Prevalence 5'!F5</f>
        <v>0.44256248697642969</v>
      </c>
      <c r="BN12" s="31">
        <f>'5e. Prevalence 5'!F5</f>
        <v>0.44256248697642969</v>
      </c>
      <c r="BO12" s="31">
        <f>'5e. Prevalence 5'!F5</f>
        <v>0.44256248697642969</v>
      </c>
      <c r="BP12" s="31">
        <f>'5e. Prevalence 5'!F5</f>
        <v>0.44256248697642969</v>
      </c>
      <c r="BQ12" s="31">
        <f>'5e. Prevalence 5'!F5</f>
        <v>0.44256248697642969</v>
      </c>
      <c r="BR12" s="31">
        <f>'5e. Prevalence 5'!F5</f>
        <v>0.44256248697642969</v>
      </c>
      <c r="BS12" s="31">
        <f>'5e. Prevalence 5'!F5</f>
        <v>0.44256248697642969</v>
      </c>
      <c r="BT12" s="31">
        <f>'5e. Prevalence 5'!F5</f>
        <v>0.44256248697642969</v>
      </c>
      <c r="BU12" s="31">
        <f>'5e. Prevalence 5'!F5</f>
        <v>0.44256248697642969</v>
      </c>
      <c r="BV12" s="31">
        <f>'5e. Prevalence 5'!F5</f>
        <v>0.44256248697642969</v>
      </c>
      <c r="BW12" s="31">
        <f>'5e. Prevalence 5'!F5</f>
        <v>0.44256248697642969</v>
      </c>
      <c r="BX12" s="31">
        <f>'5e. Prevalence 5'!F5</f>
        <v>0.44256248697642969</v>
      </c>
      <c r="BY12" s="32">
        <f>'5e. Prevalence 5'!G5</f>
        <v>0.55355983023257294</v>
      </c>
      <c r="BZ12" s="32">
        <f>'5e. Prevalence 5'!G5</f>
        <v>0.55355983023257294</v>
      </c>
      <c r="CA12" s="32">
        <f>'5e. Prevalence 5'!G5</f>
        <v>0.55355983023257294</v>
      </c>
      <c r="CB12" s="32">
        <f>'5e. Prevalence 5'!G5</f>
        <v>0.55355983023257294</v>
      </c>
      <c r="CC12" s="32">
        <f>'5e. Prevalence 5'!G5</f>
        <v>0.55355983023257294</v>
      </c>
      <c r="CD12" s="32">
        <f>'5e. Prevalence 5'!G5</f>
        <v>0.55355983023257294</v>
      </c>
      <c r="CE12" s="32">
        <f>'5e. Prevalence 5'!G5</f>
        <v>0.55355983023257294</v>
      </c>
      <c r="CF12" s="32">
        <f>'5e. Prevalence 5'!G5</f>
        <v>0.55355983023257294</v>
      </c>
      <c r="CG12" s="32">
        <f>'5e. Prevalence 5'!G5</f>
        <v>0.55355983023257294</v>
      </c>
      <c r="CH12" s="32">
        <f>'5e. Prevalence 5'!G5</f>
        <v>0.55355983023257294</v>
      </c>
      <c r="CI12" s="33">
        <f>'5e. Prevalence 5'!H5</f>
        <v>0.54407202866401227</v>
      </c>
    </row>
    <row r="13" spans="1:87" x14ac:dyDescent="0.45">
      <c r="A13" s="16" t="s">
        <v>164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51">
        <f t="shared" si="1"/>
        <v>4.6859594352090223E-2</v>
      </c>
      <c r="BA13" s="51">
        <f t="shared" si="2"/>
        <v>9.3719188704180445E-2</v>
      </c>
      <c r="BB13" s="51">
        <f t="shared" si="3"/>
        <v>0.14057878305627067</v>
      </c>
      <c r="BC13" s="51">
        <f t="shared" si="4"/>
        <v>0.18743837740836089</v>
      </c>
      <c r="BD13" s="51">
        <f t="shared" si="5"/>
        <v>0.23429797176045114</v>
      </c>
      <c r="BE13" s="51">
        <f t="shared" si="6"/>
        <v>0.28115756611254134</v>
      </c>
      <c r="BF13" s="51">
        <f t="shared" si="7"/>
        <v>0.32801716046463159</v>
      </c>
      <c r="BG13" s="51">
        <f t="shared" si="8"/>
        <v>0.37487675481672178</v>
      </c>
      <c r="BH13" s="51">
        <f t="shared" si="9"/>
        <v>0.42173634916881203</v>
      </c>
      <c r="BI13" s="51">
        <f t="shared" si="10"/>
        <v>0.46859594352090228</v>
      </c>
      <c r="BJ13" s="31">
        <f>'5e. Prevalence 5'!F6</f>
        <v>0.51545553787299248</v>
      </c>
      <c r="BK13" s="31">
        <f>'5e. Prevalence 5'!F6</f>
        <v>0.51545553787299248</v>
      </c>
      <c r="BL13" s="31">
        <f>'5e. Prevalence 5'!F6</f>
        <v>0.51545553787299248</v>
      </c>
      <c r="BM13" s="31">
        <f>'5e. Prevalence 5'!F6</f>
        <v>0.51545553787299248</v>
      </c>
      <c r="BN13" s="31">
        <f>'5e. Prevalence 5'!F6</f>
        <v>0.51545553787299248</v>
      </c>
      <c r="BO13" s="31">
        <f>'5e. Prevalence 5'!F6</f>
        <v>0.51545553787299248</v>
      </c>
      <c r="BP13" s="31">
        <f>'5e. Prevalence 5'!F6</f>
        <v>0.51545553787299248</v>
      </c>
      <c r="BQ13" s="31">
        <f>'5e. Prevalence 5'!F6</f>
        <v>0.51545553787299248</v>
      </c>
      <c r="BR13" s="31">
        <f>'5e. Prevalence 5'!F6</f>
        <v>0.51545553787299248</v>
      </c>
      <c r="BS13" s="31">
        <f>'5e. Prevalence 5'!F6</f>
        <v>0.51545553787299248</v>
      </c>
      <c r="BT13" s="31">
        <f>'5e. Prevalence 5'!F6</f>
        <v>0.51545553787299248</v>
      </c>
      <c r="BU13" s="31">
        <f>'5e. Prevalence 5'!F6</f>
        <v>0.51545553787299248</v>
      </c>
      <c r="BV13" s="31">
        <f>'5e. Prevalence 5'!F6</f>
        <v>0.51545553787299248</v>
      </c>
      <c r="BW13" s="31">
        <f>'5e. Prevalence 5'!F6</f>
        <v>0.51545553787299248</v>
      </c>
      <c r="BX13" s="31">
        <f>'5e. Prevalence 5'!F6</f>
        <v>0.51545553787299248</v>
      </c>
      <c r="BY13" s="32">
        <f>'5e. Prevalence 5'!G6</f>
        <v>0.61469593856979843</v>
      </c>
      <c r="BZ13" s="32">
        <f>'5e. Prevalence 5'!G6</f>
        <v>0.61469593856979843</v>
      </c>
      <c r="CA13" s="32">
        <f>'5e. Prevalence 5'!G6</f>
        <v>0.61469593856979843</v>
      </c>
      <c r="CB13" s="32">
        <f>'5e. Prevalence 5'!G6</f>
        <v>0.61469593856979843</v>
      </c>
      <c r="CC13" s="32">
        <f>'5e. Prevalence 5'!G6</f>
        <v>0.61469593856979843</v>
      </c>
      <c r="CD13" s="32">
        <f>'5e. Prevalence 5'!G6</f>
        <v>0.61469593856979843</v>
      </c>
      <c r="CE13" s="32">
        <f>'5e. Prevalence 5'!G6</f>
        <v>0.61469593856979843</v>
      </c>
      <c r="CF13" s="32">
        <f>'5e. Prevalence 5'!G6</f>
        <v>0.61469593856979843</v>
      </c>
      <c r="CG13" s="32">
        <f>'5e. Prevalence 5'!G6</f>
        <v>0.61469593856979843</v>
      </c>
      <c r="CH13" s="32">
        <f>'5e. Prevalence 5'!G6</f>
        <v>0.61469593856979843</v>
      </c>
      <c r="CI13" s="33">
        <f>'5e. Prevalence 5'!H6</f>
        <v>0.59055860616216849</v>
      </c>
    </row>
    <row r="14" spans="1:87" x14ac:dyDescent="0.45">
      <c r="A14" s="16" t="s">
        <v>165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51">
        <f t="shared" si="1"/>
        <v>3.6234686568750035E-2</v>
      </c>
      <c r="BA14" s="51">
        <f t="shared" si="2"/>
        <v>7.246937313750007E-2</v>
      </c>
      <c r="BB14" s="51">
        <f t="shared" si="3"/>
        <v>0.10870405970625012</v>
      </c>
      <c r="BC14" s="51">
        <f t="shared" si="4"/>
        <v>0.14493874627500014</v>
      </c>
      <c r="BD14" s="51">
        <f t="shared" si="5"/>
        <v>0.18117343284375018</v>
      </c>
      <c r="BE14" s="51">
        <f t="shared" si="6"/>
        <v>0.21740811941250024</v>
      </c>
      <c r="BF14" s="51">
        <f t="shared" si="7"/>
        <v>0.25364280598125027</v>
      </c>
      <c r="BG14" s="51">
        <f t="shared" si="8"/>
        <v>0.28987749255000028</v>
      </c>
      <c r="BH14" s="51">
        <f t="shared" si="9"/>
        <v>0.32611217911875034</v>
      </c>
      <c r="BI14" s="51">
        <f t="shared" si="10"/>
        <v>0.36234686568750035</v>
      </c>
      <c r="BJ14" s="31">
        <f>'5e. Prevalence 5'!F7</f>
        <v>0.39858155225625042</v>
      </c>
      <c r="BK14" s="31">
        <f>'5e. Prevalence 5'!F7</f>
        <v>0.39858155225625042</v>
      </c>
      <c r="BL14" s="31">
        <f>'5e. Prevalence 5'!F7</f>
        <v>0.39858155225625042</v>
      </c>
      <c r="BM14" s="31">
        <f>'5e. Prevalence 5'!F7</f>
        <v>0.39858155225625042</v>
      </c>
      <c r="BN14" s="31">
        <f>'5e. Prevalence 5'!F7</f>
        <v>0.39858155225625042</v>
      </c>
      <c r="BO14" s="31">
        <f>'5e. Prevalence 5'!F7</f>
        <v>0.39858155225625042</v>
      </c>
      <c r="BP14" s="31">
        <f>'5e. Prevalence 5'!F7</f>
        <v>0.39858155225625042</v>
      </c>
      <c r="BQ14" s="31">
        <f>'5e. Prevalence 5'!F7</f>
        <v>0.39858155225625042</v>
      </c>
      <c r="BR14" s="31">
        <f>'5e. Prevalence 5'!F7</f>
        <v>0.39858155225625042</v>
      </c>
      <c r="BS14" s="31">
        <f>'5e. Prevalence 5'!F7</f>
        <v>0.39858155225625042</v>
      </c>
      <c r="BT14" s="31">
        <f>'5e. Prevalence 5'!F7</f>
        <v>0.39858155225625042</v>
      </c>
      <c r="BU14" s="31">
        <f>'5e. Prevalence 5'!F7</f>
        <v>0.39858155225625042</v>
      </c>
      <c r="BV14" s="31">
        <f>'5e. Prevalence 5'!F7</f>
        <v>0.39858155225625042</v>
      </c>
      <c r="BW14" s="31">
        <f>'5e. Prevalence 5'!F7</f>
        <v>0.39858155225625042</v>
      </c>
      <c r="BX14" s="31">
        <f>'5e. Prevalence 5'!F7</f>
        <v>0.39858155225625042</v>
      </c>
      <c r="BY14" s="32">
        <f>'5e. Prevalence 5'!G7</f>
        <v>0.51371811656459432</v>
      </c>
      <c r="BZ14" s="32">
        <f>'5e. Prevalence 5'!G7</f>
        <v>0.51371811656459432</v>
      </c>
      <c r="CA14" s="32">
        <f>'5e. Prevalence 5'!G7</f>
        <v>0.51371811656459432</v>
      </c>
      <c r="CB14" s="32">
        <f>'5e. Prevalence 5'!G7</f>
        <v>0.51371811656459432</v>
      </c>
      <c r="CC14" s="32">
        <f>'5e. Prevalence 5'!G7</f>
        <v>0.51371811656459432</v>
      </c>
      <c r="CD14" s="32">
        <f>'5e. Prevalence 5'!G7</f>
        <v>0.51371811656459432</v>
      </c>
      <c r="CE14" s="32">
        <f>'5e. Prevalence 5'!G7</f>
        <v>0.51371811656459432</v>
      </c>
      <c r="CF14" s="32">
        <f>'5e. Prevalence 5'!G7</f>
        <v>0.51371811656459432</v>
      </c>
      <c r="CG14" s="32">
        <f>'5e. Prevalence 5'!G7</f>
        <v>0.51371811656459432</v>
      </c>
      <c r="CH14" s="32">
        <f>'5e. Prevalence 5'!G7</f>
        <v>0.51371811656459432</v>
      </c>
      <c r="CI14" s="33">
        <f>'5e. Prevalence 5'!H7</f>
        <v>0.51265225110228596</v>
      </c>
    </row>
    <row r="15" spans="1:87" x14ac:dyDescent="0.45">
      <c r="A15" s="16" t="s">
        <v>166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51">
        <f t="shared" si="1"/>
        <v>4.2789582736537053E-2</v>
      </c>
      <c r="BA15" s="51">
        <f t="shared" si="2"/>
        <v>8.5579165473074106E-2</v>
      </c>
      <c r="BB15" s="51">
        <f t="shared" si="3"/>
        <v>0.12836874820961117</v>
      </c>
      <c r="BC15" s="51">
        <f t="shared" si="4"/>
        <v>0.17115833094614821</v>
      </c>
      <c r="BD15" s="51">
        <f t="shared" si="5"/>
        <v>0.21394791368268529</v>
      </c>
      <c r="BE15" s="51">
        <f t="shared" si="6"/>
        <v>0.25673749641922233</v>
      </c>
      <c r="BF15" s="51">
        <f t="shared" si="7"/>
        <v>0.29952707915575938</v>
      </c>
      <c r="BG15" s="51">
        <f t="shared" si="8"/>
        <v>0.34231666189229643</v>
      </c>
      <c r="BH15" s="51">
        <f t="shared" si="9"/>
        <v>0.38510624462883353</v>
      </c>
      <c r="BI15" s="51">
        <f t="shared" si="10"/>
        <v>0.42789582736537057</v>
      </c>
      <c r="BJ15" s="31">
        <f>'5e. Prevalence 5'!F8</f>
        <v>0.47068541010190762</v>
      </c>
      <c r="BK15" s="31">
        <f>'5e. Prevalence 5'!F8</f>
        <v>0.47068541010190762</v>
      </c>
      <c r="BL15" s="31">
        <f>'5e. Prevalence 5'!F8</f>
        <v>0.47068541010190762</v>
      </c>
      <c r="BM15" s="31">
        <f>'5e. Prevalence 5'!F8</f>
        <v>0.47068541010190762</v>
      </c>
      <c r="BN15" s="31">
        <f>'5e. Prevalence 5'!F8</f>
        <v>0.47068541010190762</v>
      </c>
      <c r="BO15" s="31">
        <f>'5e. Prevalence 5'!F8</f>
        <v>0.47068541010190762</v>
      </c>
      <c r="BP15" s="31">
        <f>'5e. Prevalence 5'!F8</f>
        <v>0.47068541010190762</v>
      </c>
      <c r="BQ15" s="31">
        <f>'5e. Prevalence 5'!F8</f>
        <v>0.47068541010190762</v>
      </c>
      <c r="BR15" s="31">
        <f>'5e. Prevalence 5'!F8</f>
        <v>0.47068541010190762</v>
      </c>
      <c r="BS15" s="31">
        <f>'5e. Prevalence 5'!F8</f>
        <v>0.47068541010190762</v>
      </c>
      <c r="BT15" s="31">
        <f>'5e. Prevalence 5'!F8</f>
        <v>0.47068541010190762</v>
      </c>
      <c r="BU15" s="31">
        <f>'5e. Prevalence 5'!F8</f>
        <v>0.47068541010190762</v>
      </c>
      <c r="BV15" s="31">
        <f>'5e. Prevalence 5'!F8</f>
        <v>0.47068541010190762</v>
      </c>
      <c r="BW15" s="31">
        <f>'5e. Prevalence 5'!F8</f>
        <v>0.47068541010190762</v>
      </c>
      <c r="BX15" s="31">
        <f>'5e. Prevalence 5'!F8</f>
        <v>0.47068541010190762</v>
      </c>
      <c r="BY15" s="32">
        <f>'5e. Prevalence 5'!G8</f>
        <v>0.57709494464758493</v>
      </c>
      <c r="BZ15" s="32">
        <f>'5e. Prevalence 5'!G8</f>
        <v>0.57709494464758493</v>
      </c>
      <c r="CA15" s="32">
        <f>'5e. Prevalence 5'!G8</f>
        <v>0.57709494464758493</v>
      </c>
      <c r="CB15" s="32">
        <f>'5e. Prevalence 5'!G8</f>
        <v>0.57709494464758493</v>
      </c>
      <c r="CC15" s="32">
        <f>'5e. Prevalence 5'!G8</f>
        <v>0.57709494464758493</v>
      </c>
      <c r="CD15" s="32">
        <f>'5e. Prevalence 5'!G8</f>
        <v>0.57709494464758493</v>
      </c>
      <c r="CE15" s="32">
        <f>'5e. Prevalence 5'!G8</f>
        <v>0.57709494464758493</v>
      </c>
      <c r="CF15" s="32">
        <f>'5e. Prevalence 5'!G8</f>
        <v>0.57709494464758493</v>
      </c>
      <c r="CG15" s="32">
        <f>'5e. Prevalence 5'!G8</f>
        <v>0.57709494464758493</v>
      </c>
      <c r="CH15" s="32">
        <f>'5e. Prevalence 5'!G8</f>
        <v>0.57709494464758493</v>
      </c>
      <c r="CI15" s="33">
        <f>'5e. Prevalence 5'!H8</f>
        <v>0.56086394052742994</v>
      </c>
    </row>
    <row r="16" spans="1:87" x14ac:dyDescent="0.45">
      <c r="A16" s="16" t="s">
        <v>167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51">
        <f t="shared" si="1"/>
        <v>2.7424942701437364E-2</v>
      </c>
      <c r="BA16" s="51">
        <f t="shared" si="2"/>
        <v>5.4849885402874728E-2</v>
      </c>
      <c r="BB16" s="51">
        <f t="shared" si="3"/>
        <v>8.2274828104312095E-2</v>
      </c>
      <c r="BC16" s="51">
        <f t="shared" si="4"/>
        <v>0.10969977080574946</v>
      </c>
      <c r="BD16" s="51">
        <f t="shared" si="5"/>
        <v>0.13712471350718683</v>
      </c>
      <c r="BE16" s="51">
        <f t="shared" si="6"/>
        <v>0.16454965620862419</v>
      </c>
      <c r="BF16" s="51">
        <f t="shared" si="7"/>
        <v>0.19197459891006155</v>
      </c>
      <c r="BG16" s="51">
        <f t="shared" si="8"/>
        <v>0.21939954161149891</v>
      </c>
      <c r="BH16" s="51">
        <f t="shared" si="9"/>
        <v>0.2468244843129363</v>
      </c>
      <c r="BI16" s="51">
        <f t="shared" si="10"/>
        <v>0.27424942701437366</v>
      </c>
      <c r="BJ16" s="31">
        <f>'5e. Prevalence 5'!F9</f>
        <v>0.30167436971581102</v>
      </c>
      <c r="BK16" s="31">
        <f>'5e. Prevalence 5'!F9</f>
        <v>0.30167436971581102</v>
      </c>
      <c r="BL16" s="31">
        <f>'5e. Prevalence 5'!F9</f>
        <v>0.30167436971581102</v>
      </c>
      <c r="BM16" s="31">
        <f>'5e. Prevalence 5'!F9</f>
        <v>0.30167436971581102</v>
      </c>
      <c r="BN16" s="31">
        <f>'5e. Prevalence 5'!F9</f>
        <v>0.30167436971581102</v>
      </c>
      <c r="BO16" s="31">
        <f>'5e. Prevalence 5'!F9</f>
        <v>0.30167436971581102</v>
      </c>
      <c r="BP16" s="31">
        <f>'5e. Prevalence 5'!F9</f>
        <v>0.30167436971581102</v>
      </c>
      <c r="BQ16" s="31">
        <f>'5e. Prevalence 5'!F9</f>
        <v>0.30167436971581102</v>
      </c>
      <c r="BR16" s="31">
        <f>'5e. Prevalence 5'!F9</f>
        <v>0.30167436971581102</v>
      </c>
      <c r="BS16" s="31">
        <f>'5e. Prevalence 5'!F9</f>
        <v>0.30167436971581102</v>
      </c>
      <c r="BT16" s="31">
        <f>'5e. Prevalence 5'!F9</f>
        <v>0.30167436971581102</v>
      </c>
      <c r="BU16" s="31">
        <f>'5e. Prevalence 5'!F9</f>
        <v>0.30167436971581102</v>
      </c>
      <c r="BV16" s="31">
        <f>'5e. Prevalence 5'!F9</f>
        <v>0.30167436971581102</v>
      </c>
      <c r="BW16" s="31">
        <f>'5e. Prevalence 5'!F9</f>
        <v>0.30167436971581102</v>
      </c>
      <c r="BX16" s="31">
        <f>'5e. Prevalence 5'!F9</f>
        <v>0.30167436971581102</v>
      </c>
      <c r="BY16" s="32">
        <f>'5e. Prevalence 5'!G9</f>
        <v>0.41290992936544901</v>
      </c>
      <c r="BZ16" s="32">
        <f>'5e. Prevalence 5'!G9</f>
        <v>0.41290992936544901</v>
      </c>
      <c r="CA16" s="32">
        <f>'5e. Prevalence 5'!G9</f>
        <v>0.41290992936544901</v>
      </c>
      <c r="CB16" s="32">
        <f>'5e. Prevalence 5'!G9</f>
        <v>0.41290992936544901</v>
      </c>
      <c r="CC16" s="32">
        <f>'5e. Prevalence 5'!G9</f>
        <v>0.41290992936544901</v>
      </c>
      <c r="CD16" s="32">
        <f>'5e. Prevalence 5'!G9</f>
        <v>0.41290992936544901</v>
      </c>
      <c r="CE16" s="32">
        <f>'5e. Prevalence 5'!G9</f>
        <v>0.41290992936544901</v>
      </c>
      <c r="CF16" s="32">
        <f>'5e. Prevalence 5'!G9</f>
        <v>0.41290992936544901</v>
      </c>
      <c r="CG16" s="32">
        <f>'5e. Prevalence 5'!G9</f>
        <v>0.41290992936544901</v>
      </c>
      <c r="CH16" s="32">
        <f>'5e. Prevalence 5'!G9</f>
        <v>0.41290992936544901</v>
      </c>
      <c r="CI16" s="33">
        <f>'5e. Prevalence 5'!H9</f>
        <v>0.42092725142580867</v>
      </c>
    </row>
    <row r="17" spans="1:87" x14ac:dyDescent="0.45">
      <c r="A17" s="16" t="s">
        <v>168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51">
        <f t="shared" si="1"/>
        <v>3.3387960009349724E-2</v>
      </c>
      <c r="BA17" s="51">
        <f t="shared" si="2"/>
        <v>6.6775920018699447E-2</v>
      </c>
      <c r="BB17" s="51">
        <f t="shared" si="3"/>
        <v>0.10016388002804916</v>
      </c>
      <c r="BC17" s="51">
        <f t="shared" si="4"/>
        <v>0.13355184003739889</v>
      </c>
      <c r="BD17" s="51">
        <f t="shared" si="5"/>
        <v>0.1669398000467486</v>
      </c>
      <c r="BE17" s="51">
        <f t="shared" si="6"/>
        <v>0.20032776005609831</v>
      </c>
      <c r="BF17" s="51">
        <f t="shared" si="7"/>
        <v>0.23371572006544808</v>
      </c>
      <c r="BG17" s="51">
        <f t="shared" si="8"/>
        <v>0.26710368007479779</v>
      </c>
      <c r="BH17" s="51">
        <f t="shared" si="9"/>
        <v>0.30049164008414747</v>
      </c>
      <c r="BI17" s="51">
        <f t="shared" si="10"/>
        <v>0.33387960009349721</v>
      </c>
      <c r="BJ17" s="31">
        <f>'5e. Prevalence 5'!F10</f>
        <v>0.36726756010284695</v>
      </c>
      <c r="BK17" s="31">
        <f>'5e. Prevalence 5'!F10</f>
        <v>0.36726756010284695</v>
      </c>
      <c r="BL17" s="31">
        <f>'5e. Prevalence 5'!F10</f>
        <v>0.36726756010284695</v>
      </c>
      <c r="BM17" s="31">
        <f>'5e. Prevalence 5'!F10</f>
        <v>0.36726756010284695</v>
      </c>
      <c r="BN17" s="31">
        <f>'5e. Prevalence 5'!F10</f>
        <v>0.36726756010284695</v>
      </c>
      <c r="BO17" s="31">
        <f>'5e. Prevalence 5'!F10</f>
        <v>0.36726756010284695</v>
      </c>
      <c r="BP17" s="31">
        <f>'5e. Prevalence 5'!F10</f>
        <v>0.36726756010284695</v>
      </c>
      <c r="BQ17" s="31">
        <f>'5e. Prevalence 5'!F10</f>
        <v>0.36726756010284695</v>
      </c>
      <c r="BR17" s="31">
        <f>'5e. Prevalence 5'!F10</f>
        <v>0.36726756010284695</v>
      </c>
      <c r="BS17" s="31">
        <f>'5e. Prevalence 5'!F10</f>
        <v>0.36726756010284695</v>
      </c>
      <c r="BT17" s="31">
        <f>'5e. Prevalence 5'!F10</f>
        <v>0.36726756010284695</v>
      </c>
      <c r="BU17" s="31">
        <f>'5e. Prevalence 5'!F10</f>
        <v>0.36726756010284695</v>
      </c>
      <c r="BV17" s="31">
        <f>'5e. Prevalence 5'!F10</f>
        <v>0.36726756010284695</v>
      </c>
      <c r="BW17" s="31">
        <f>'5e. Prevalence 5'!F10</f>
        <v>0.36726756010284695</v>
      </c>
      <c r="BX17" s="31">
        <f>'5e. Prevalence 5'!F10</f>
        <v>0.36726756010284695</v>
      </c>
      <c r="BY17" s="32">
        <f>'5e. Prevalence 5'!G10</f>
        <v>0.47706670638511084</v>
      </c>
      <c r="BZ17" s="32">
        <f>'5e. Prevalence 5'!G10</f>
        <v>0.47706670638511084</v>
      </c>
      <c r="CA17" s="32">
        <f>'5e. Prevalence 5'!G10</f>
        <v>0.47706670638511084</v>
      </c>
      <c r="CB17" s="32">
        <f>'5e. Prevalence 5'!G10</f>
        <v>0.47706670638511084</v>
      </c>
      <c r="CC17" s="32">
        <f>'5e. Prevalence 5'!G10</f>
        <v>0.47706670638511084</v>
      </c>
      <c r="CD17" s="32">
        <f>'5e. Prevalence 5'!G10</f>
        <v>0.47706670638511084</v>
      </c>
      <c r="CE17" s="32">
        <f>'5e. Prevalence 5'!G10</f>
        <v>0.47706670638511084</v>
      </c>
      <c r="CF17" s="32">
        <f>'5e. Prevalence 5'!G10</f>
        <v>0.47706670638511084</v>
      </c>
      <c r="CG17" s="32">
        <f>'5e. Prevalence 5'!G10</f>
        <v>0.47706670638511084</v>
      </c>
      <c r="CH17" s="32">
        <f>'5e. Prevalence 5'!G10</f>
        <v>0.47706670638511084</v>
      </c>
      <c r="CI17" s="33">
        <f>'5e. Prevalence 5'!H10</f>
        <v>0.47009343201215592</v>
      </c>
    </row>
    <row r="19" spans="1:87" x14ac:dyDescent="0.45">
      <c r="AZ19" s="13">
        <v>1</v>
      </c>
      <c r="BA19" s="13">
        <v>2</v>
      </c>
      <c r="BB19" s="13">
        <v>3</v>
      </c>
      <c r="BC19" s="13">
        <v>4</v>
      </c>
      <c r="BD19" s="13">
        <v>5</v>
      </c>
      <c r="BE19" s="13">
        <v>6</v>
      </c>
      <c r="BF19" s="13">
        <v>7</v>
      </c>
      <c r="BG19" s="13">
        <v>8</v>
      </c>
      <c r="BH19" s="13">
        <v>9</v>
      </c>
      <c r="BI19" s="13">
        <v>10</v>
      </c>
    </row>
    <row r="20" spans="1:87" x14ac:dyDescent="0.45">
      <c r="AZ20" s="13" t="s">
        <v>319</v>
      </c>
      <c r="BB20" s="13">
        <v>50</v>
      </c>
    </row>
    <row r="21" spans="1:87" x14ac:dyDescent="0.45">
      <c r="AZ21" s="13" t="s">
        <v>320</v>
      </c>
      <c r="BB21" s="13">
        <f>60-BB20+1</f>
        <v>11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588A-CE30-4F9A-A911-0B9999E5CA02}">
  <dimension ref="A1:U253"/>
  <sheetViews>
    <sheetView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U102" sqref="U2:U102"/>
    </sheetView>
  </sheetViews>
  <sheetFormatPr defaultRowHeight="14.25" x14ac:dyDescent="0.45"/>
  <cols>
    <col min="1" max="1" width="20" bestFit="1" customWidth="1"/>
  </cols>
  <sheetData>
    <row r="1" spans="1:21" x14ac:dyDescent="0.45">
      <c r="A1" t="s">
        <v>299</v>
      </c>
      <c r="B1" t="s">
        <v>300</v>
      </c>
      <c r="C1" t="s">
        <v>301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21" x14ac:dyDescent="0.45">
      <c r="A2" t="s">
        <v>302</v>
      </c>
      <c r="B2" t="s">
        <v>114</v>
      </c>
      <c r="C2">
        <v>0</v>
      </c>
      <c r="D2">
        <v>2.1</v>
      </c>
      <c r="E2">
        <v>1.7</v>
      </c>
      <c r="F2">
        <v>1.6</v>
      </c>
      <c r="G2">
        <v>2.1</v>
      </c>
      <c r="H2">
        <v>1.7</v>
      </c>
      <c r="I2">
        <v>1.2</v>
      </c>
      <c r="J2">
        <v>2.5</v>
      </c>
      <c r="K2">
        <v>2.4</v>
      </c>
      <c r="L2">
        <v>1.9</v>
      </c>
      <c r="M2">
        <v>1.6</v>
      </c>
      <c r="N2">
        <v>1.4</v>
      </c>
      <c r="O2">
        <v>1.9</v>
      </c>
      <c r="P2">
        <v>1.6</v>
      </c>
      <c r="Q2">
        <v>2.6</v>
      </c>
      <c r="R2">
        <v>2.8</v>
      </c>
      <c r="S2">
        <v>1.9</v>
      </c>
      <c r="U2">
        <f>AVERAGE(D2:S2)</f>
        <v>1.9375</v>
      </c>
    </row>
    <row r="3" spans="1:21" x14ac:dyDescent="0.45">
      <c r="A3" t="s">
        <v>302</v>
      </c>
      <c r="B3" t="s">
        <v>114</v>
      </c>
      <c r="C3">
        <v>1</v>
      </c>
      <c r="D3">
        <v>0.1</v>
      </c>
      <c r="E3">
        <v>0.1</v>
      </c>
      <c r="F3">
        <v>0.1</v>
      </c>
      <c r="G3">
        <v>0.2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 t="s">
        <v>303</v>
      </c>
      <c r="O3">
        <v>0.1</v>
      </c>
      <c r="P3">
        <v>0.1</v>
      </c>
      <c r="Q3">
        <v>0.1</v>
      </c>
      <c r="R3">
        <v>0.1</v>
      </c>
      <c r="S3">
        <v>0.2</v>
      </c>
      <c r="U3">
        <f t="shared" ref="U3:U66" si="0">AVERAGE(D3:S3)</f>
        <v>0.11333333333333334</v>
      </c>
    </row>
    <row r="4" spans="1:21" x14ac:dyDescent="0.45">
      <c r="A4" t="s">
        <v>302</v>
      </c>
      <c r="B4" t="s">
        <v>114</v>
      </c>
      <c r="C4">
        <v>2</v>
      </c>
      <c r="D4">
        <v>0.1</v>
      </c>
      <c r="E4">
        <v>0.1</v>
      </c>
      <c r="F4">
        <v>0.1</v>
      </c>
      <c r="G4">
        <v>0.2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 t="s">
        <v>303</v>
      </c>
      <c r="O4">
        <v>0.1</v>
      </c>
      <c r="P4">
        <v>0.1</v>
      </c>
      <c r="Q4">
        <v>0.1</v>
      </c>
      <c r="R4">
        <v>0.1</v>
      </c>
      <c r="S4">
        <v>0.2</v>
      </c>
      <c r="U4">
        <f t="shared" si="0"/>
        <v>0.11333333333333334</v>
      </c>
    </row>
    <row r="5" spans="1:21" x14ac:dyDescent="0.45">
      <c r="A5" t="s">
        <v>302</v>
      </c>
      <c r="B5" t="s">
        <v>114</v>
      </c>
      <c r="C5">
        <v>3</v>
      </c>
      <c r="D5">
        <v>0.1</v>
      </c>
      <c r="E5">
        <v>0.1</v>
      </c>
      <c r="F5">
        <v>0.1</v>
      </c>
      <c r="G5">
        <v>0.2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 t="s">
        <v>303</v>
      </c>
      <c r="O5">
        <v>0.1</v>
      </c>
      <c r="P5">
        <v>0.1</v>
      </c>
      <c r="Q5">
        <v>0.1</v>
      </c>
      <c r="R5">
        <v>0.1</v>
      </c>
      <c r="S5">
        <v>0.2</v>
      </c>
      <c r="U5">
        <f t="shared" si="0"/>
        <v>0.11333333333333334</v>
      </c>
    </row>
    <row r="6" spans="1:21" x14ac:dyDescent="0.45">
      <c r="A6" t="s">
        <v>302</v>
      </c>
      <c r="B6" t="s">
        <v>114</v>
      </c>
      <c r="C6">
        <v>4</v>
      </c>
      <c r="D6">
        <v>0.1</v>
      </c>
      <c r="E6">
        <v>0.1</v>
      </c>
      <c r="F6">
        <v>0.1</v>
      </c>
      <c r="G6">
        <v>0.2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0.1</v>
      </c>
      <c r="N6" t="s">
        <v>303</v>
      </c>
      <c r="O6">
        <v>0.1</v>
      </c>
      <c r="P6">
        <v>0.1</v>
      </c>
      <c r="Q6">
        <v>0.1</v>
      </c>
      <c r="R6">
        <v>0.1</v>
      </c>
      <c r="S6">
        <v>0.2</v>
      </c>
      <c r="U6">
        <f t="shared" si="0"/>
        <v>0.11333333333333334</v>
      </c>
    </row>
    <row r="7" spans="1:21" x14ac:dyDescent="0.45">
      <c r="A7" t="s">
        <v>302</v>
      </c>
      <c r="B7" t="s">
        <v>114</v>
      </c>
      <c r="C7">
        <v>5</v>
      </c>
      <c r="D7">
        <v>0.1</v>
      </c>
      <c r="E7">
        <v>0.1</v>
      </c>
      <c r="F7">
        <v>0.1</v>
      </c>
      <c r="G7" t="s">
        <v>303</v>
      </c>
      <c r="H7" t="s">
        <v>303</v>
      </c>
      <c r="I7" t="s">
        <v>303</v>
      </c>
      <c r="J7">
        <v>0.1</v>
      </c>
      <c r="K7" t="s">
        <v>303</v>
      </c>
      <c r="L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U7">
        <f t="shared" si="0"/>
        <v>9.9999999999999992E-2</v>
      </c>
    </row>
    <row r="8" spans="1:21" x14ac:dyDescent="0.45">
      <c r="A8" t="s">
        <v>302</v>
      </c>
      <c r="B8" t="s">
        <v>114</v>
      </c>
      <c r="C8">
        <v>6</v>
      </c>
      <c r="D8">
        <v>0.1</v>
      </c>
      <c r="E8">
        <v>0.1</v>
      </c>
      <c r="F8">
        <v>0.1</v>
      </c>
      <c r="G8" t="s">
        <v>303</v>
      </c>
      <c r="H8" t="s">
        <v>303</v>
      </c>
      <c r="I8" t="s">
        <v>303</v>
      </c>
      <c r="J8">
        <v>0.1</v>
      </c>
      <c r="K8" t="s">
        <v>303</v>
      </c>
      <c r="L8">
        <v>0.1</v>
      </c>
      <c r="M8">
        <v>0.1</v>
      </c>
      <c r="N8">
        <v>0.1</v>
      </c>
      <c r="O8">
        <v>0.1</v>
      </c>
      <c r="P8">
        <v>0.1</v>
      </c>
      <c r="Q8">
        <v>0.1</v>
      </c>
      <c r="R8">
        <v>0.1</v>
      </c>
      <c r="S8">
        <v>0.1</v>
      </c>
      <c r="U8">
        <f t="shared" si="0"/>
        <v>9.9999999999999992E-2</v>
      </c>
    </row>
    <row r="9" spans="1:21" x14ac:dyDescent="0.45">
      <c r="A9" t="s">
        <v>302</v>
      </c>
      <c r="B9" t="s">
        <v>114</v>
      </c>
      <c r="C9">
        <v>7</v>
      </c>
      <c r="D9">
        <v>0.1</v>
      </c>
      <c r="E9">
        <v>0.1</v>
      </c>
      <c r="F9">
        <v>0.1</v>
      </c>
      <c r="G9" t="s">
        <v>303</v>
      </c>
      <c r="H9" t="s">
        <v>303</v>
      </c>
      <c r="I9" t="s">
        <v>303</v>
      </c>
      <c r="J9">
        <v>0.1</v>
      </c>
      <c r="K9" t="s">
        <v>303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U9">
        <f t="shared" si="0"/>
        <v>9.9999999999999992E-2</v>
      </c>
    </row>
    <row r="10" spans="1:21" x14ac:dyDescent="0.45">
      <c r="A10" t="s">
        <v>302</v>
      </c>
      <c r="B10" t="s">
        <v>114</v>
      </c>
      <c r="C10">
        <v>8</v>
      </c>
      <c r="D10">
        <v>0.1</v>
      </c>
      <c r="E10">
        <v>0.1</v>
      </c>
      <c r="F10">
        <v>0.1</v>
      </c>
      <c r="G10" t="s">
        <v>303</v>
      </c>
      <c r="H10" t="s">
        <v>303</v>
      </c>
      <c r="I10" t="s">
        <v>303</v>
      </c>
      <c r="J10">
        <v>0.1</v>
      </c>
      <c r="K10" t="s">
        <v>303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U10">
        <f t="shared" si="0"/>
        <v>9.9999999999999992E-2</v>
      </c>
    </row>
    <row r="11" spans="1:21" x14ac:dyDescent="0.45">
      <c r="A11" t="s">
        <v>302</v>
      </c>
      <c r="B11" t="s">
        <v>114</v>
      </c>
      <c r="C11">
        <v>9</v>
      </c>
      <c r="D11">
        <v>0.1</v>
      </c>
      <c r="E11">
        <v>0.1</v>
      </c>
      <c r="F11">
        <v>0.1</v>
      </c>
      <c r="G11" t="s">
        <v>303</v>
      </c>
      <c r="H11" t="s">
        <v>303</v>
      </c>
      <c r="I11" t="s">
        <v>303</v>
      </c>
      <c r="J11">
        <v>0.1</v>
      </c>
      <c r="K11" t="s">
        <v>303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U11">
        <f t="shared" si="0"/>
        <v>9.9999999999999992E-2</v>
      </c>
    </row>
    <row r="12" spans="1:21" x14ac:dyDescent="0.45">
      <c r="A12" t="s">
        <v>302</v>
      </c>
      <c r="B12" t="s">
        <v>114</v>
      </c>
      <c r="C12">
        <v>10</v>
      </c>
      <c r="D12">
        <v>0.1</v>
      </c>
      <c r="E12" t="s">
        <v>303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 t="s">
        <v>303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U12">
        <f t="shared" si="0"/>
        <v>0.1</v>
      </c>
    </row>
    <row r="13" spans="1:21" x14ac:dyDescent="0.45">
      <c r="A13" t="s">
        <v>302</v>
      </c>
      <c r="B13" t="s">
        <v>114</v>
      </c>
      <c r="C13">
        <v>11</v>
      </c>
      <c r="D13">
        <v>0.1</v>
      </c>
      <c r="E13" t="s">
        <v>303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 t="s">
        <v>303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U13">
        <f t="shared" si="0"/>
        <v>0.1</v>
      </c>
    </row>
    <row r="14" spans="1:21" x14ac:dyDescent="0.45">
      <c r="A14" t="s">
        <v>302</v>
      </c>
      <c r="B14" t="s">
        <v>114</v>
      </c>
      <c r="C14">
        <v>12</v>
      </c>
      <c r="D14">
        <v>0.1</v>
      </c>
      <c r="E14" t="s">
        <v>303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 t="s">
        <v>303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U14">
        <f t="shared" si="0"/>
        <v>0.1</v>
      </c>
    </row>
    <row r="15" spans="1:21" x14ac:dyDescent="0.45">
      <c r="A15" t="s">
        <v>302</v>
      </c>
      <c r="B15" t="s">
        <v>114</v>
      </c>
      <c r="C15">
        <v>13</v>
      </c>
      <c r="D15">
        <v>0.1</v>
      </c>
      <c r="E15" t="s">
        <v>303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0.1</v>
      </c>
      <c r="L15">
        <v>0.1</v>
      </c>
      <c r="M15" t="s">
        <v>303</v>
      </c>
      <c r="N15">
        <v>0.1</v>
      </c>
      <c r="O15">
        <v>0.1</v>
      </c>
      <c r="P15">
        <v>0.1</v>
      </c>
      <c r="Q15">
        <v>0.1</v>
      </c>
      <c r="R15">
        <v>0.1</v>
      </c>
      <c r="S15">
        <v>0.1</v>
      </c>
      <c r="U15">
        <f t="shared" si="0"/>
        <v>0.1</v>
      </c>
    </row>
    <row r="16" spans="1:21" x14ac:dyDescent="0.45">
      <c r="A16" t="s">
        <v>302</v>
      </c>
      <c r="B16" t="s">
        <v>114</v>
      </c>
      <c r="C16">
        <v>14</v>
      </c>
      <c r="D16">
        <v>0.1</v>
      </c>
      <c r="E16" t="s">
        <v>303</v>
      </c>
      <c r="F16">
        <v>0.1</v>
      </c>
      <c r="G16">
        <v>0.1</v>
      </c>
      <c r="H16">
        <v>0.1</v>
      </c>
      <c r="I16">
        <v>0.1</v>
      </c>
      <c r="J16">
        <v>0.1</v>
      </c>
      <c r="K16">
        <v>0.1</v>
      </c>
      <c r="L16">
        <v>0.1</v>
      </c>
      <c r="M16" t="s">
        <v>303</v>
      </c>
      <c r="N16">
        <v>0.1</v>
      </c>
      <c r="O16">
        <v>0.1</v>
      </c>
      <c r="P16">
        <v>0.1</v>
      </c>
      <c r="Q16">
        <v>0.1</v>
      </c>
      <c r="R16">
        <v>0.1</v>
      </c>
      <c r="S16">
        <v>0.1</v>
      </c>
      <c r="U16">
        <f t="shared" si="0"/>
        <v>0.1</v>
      </c>
    </row>
    <row r="17" spans="1:21" x14ac:dyDescent="0.45">
      <c r="A17" t="s">
        <v>302</v>
      </c>
      <c r="B17" t="s">
        <v>114</v>
      </c>
      <c r="C17">
        <v>15</v>
      </c>
      <c r="D17">
        <v>0.1</v>
      </c>
      <c r="E17">
        <v>0.2</v>
      </c>
      <c r="F17">
        <v>0.2</v>
      </c>
      <c r="G17">
        <v>0.2</v>
      </c>
      <c r="H17">
        <v>0.2</v>
      </c>
      <c r="I17">
        <v>0.2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0.3</v>
      </c>
      <c r="P17">
        <v>0.1</v>
      </c>
      <c r="Q17">
        <v>0.2</v>
      </c>
      <c r="R17">
        <v>0.3</v>
      </c>
      <c r="S17">
        <v>0.1</v>
      </c>
      <c r="U17">
        <f t="shared" si="0"/>
        <v>0.16250000000000003</v>
      </c>
    </row>
    <row r="18" spans="1:21" x14ac:dyDescent="0.45">
      <c r="A18" t="s">
        <v>302</v>
      </c>
      <c r="B18" t="s">
        <v>114</v>
      </c>
      <c r="C18">
        <v>16</v>
      </c>
      <c r="D18">
        <v>0.1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0.3</v>
      </c>
      <c r="P18">
        <v>0.1</v>
      </c>
      <c r="Q18">
        <v>0.2</v>
      </c>
      <c r="R18">
        <v>0.3</v>
      </c>
      <c r="S18">
        <v>0.1</v>
      </c>
      <c r="U18">
        <f t="shared" si="0"/>
        <v>0.16250000000000003</v>
      </c>
    </row>
    <row r="19" spans="1:21" x14ac:dyDescent="0.45">
      <c r="A19" t="s">
        <v>302</v>
      </c>
      <c r="B19" t="s">
        <v>114</v>
      </c>
      <c r="C19">
        <v>17</v>
      </c>
      <c r="D19">
        <v>0.1</v>
      </c>
      <c r="E19">
        <v>0.2</v>
      </c>
      <c r="F19">
        <v>0.2</v>
      </c>
      <c r="G19">
        <v>0.2</v>
      </c>
      <c r="H19">
        <v>0.2</v>
      </c>
      <c r="I19">
        <v>0.2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0.3</v>
      </c>
      <c r="P19">
        <v>0.1</v>
      </c>
      <c r="Q19">
        <v>0.2</v>
      </c>
      <c r="R19">
        <v>0.3</v>
      </c>
      <c r="S19">
        <v>0.1</v>
      </c>
      <c r="U19">
        <f t="shared" si="0"/>
        <v>0.16250000000000003</v>
      </c>
    </row>
    <row r="20" spans="1:21" x14ac:dyDescent="0.45">
      <c r="A20" t="s">
        <v>302</v>
      </c>
      <c r="B20" t="s">
        <v>114</v>
      </c>
      <c r="C20">
        <v>18</v>
      </c>
      <c r="D20">
        <v>0.1</v>
      </c>
      <c r="E20">
        <v>0.2</v>
      </c>
      <c r="F20">
        <v>0.2</v>
      </c>
      <c r="G20">
        <v>0.2</v>
      </c>
      <c r="H20">
        <v>0.2</v>
      </c>
      <c r="I20">
        <v>0.2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0.3</v>
      </c>
      <c r="P20">
        <v>0.1</v>
      </c>
      <c r="Q20">
        <v>0.2</v>
      </c>
      <c r="R20">
        <v>0.3</v>
      </c>
      <c r="S20">
        <v>0.1</v>
      </c>
      <c r="U20">
        <f t="shared" si="0"/>
        <v>0.16250000000000003</v>
      </c>
    </row>
    <row r="21" spans="1:21" x14ac:dyDescent="0.45">
      <c r="A21" t="s">
        <v>302</v>
      </c>
      <c r="B21" t="s">
        <v>114</v>
      </c>
      <c r="C21">
        <v>19</v>
      </c>
      <c r="D21">
        <v>0.1</v>
      </c>
      <c r="E21">
        <v>0.2</v>
      </c>
      <c r="F21">
        <v>0.2</v>
      </c>
      <c r="G21">
        <v>0.2</v>
      </c>
      <c r="H21">
        <v>0.2</v>
      </c>
      <c r="I21">
        <v>0.2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0.3</v>
      </c>
      <c r="P21">
        <v>0.1</v>
      </c>
      <c r="Q21">
        <v>0.2</v>
      </c>
      <c r="R21">
        <v>0.3</v>
      </c>
      <c r="S21">
        <v>0.1</v>
      </c>
      <c r="U21">
        <f t="shared" si="0"/>
        <v>0.16250000000000003</v>
      </c>
    </row>
    <row r="22" spans="1:21" x14ac:dyDescent="0.45">
      <c r="A22" t="s">
        <v>302</v>
      </c>
      <c r="B22" t="s">
        <v>114</v>
      </c>
      <c r="C22">
        <v>20</v>
      </c>
      <c r="D22">
        <v>0.2</v>
      </c>
      <c r="E22">
        <v>0.2</v>
      </c>
      <c r="F22">
        <v>0.2</v>
      </c>
      <c r="G22">
        <v>0.2</v>
      </c>
      <c r="H22">
        <v>0.1</v>
      </c>
      <c r="I22">
        <v>0.2</v>
      </c>
      <c r="J22">
        <v>0.2</v>
      </c>
      <c r="K22">
        <v>0.1</v>
      </c>
      <c r="L22">
        <v>0.2</v>
      </c>
      <c r="M22">
        <v>0.1</v>
      </c>
      <c r="N22">
        <v>0.2</v>
      </c>
      <c r="O22">
        <v>0.2</v>
      </c>
      <c r="P22">
        <v>0.2</v>
      </c>
      <c r="Q22">
        <v>0.1</v>
      </c>
      <c r="R22">
        <v>0.2</v>
      </c>
      <c r="S22">
        <v>0.2</v>
      </c>
      <c r="U22">
        <f t="shared" si="0"/>
        <v>0.17500000000000004</v>
      </c>
    </row>
    <row r="23" spans="1:21" x14ac:dyDescent="0.45">
      <c r="A23" t="s">
        <v>302</v>
      </c>
      <c r="B23" t="s">
        <v>114</v>
      </c>
      <c r="C23">
        <v>21</v>
      </c>
      <c r="D23">
        <v>0.2</v>
      </c>
      <c r="E23">
        <v>0.2</v>
      </c>
      <c r="F23">
        <v>0.2</v>
      </c>
      <c r="G23">
        <v>0.2</v>
      </c>
      <c r="H23">
        <v>0.1</v>
      </c>
      <c r="I23">
        <v>0.2</v>
      </c>
      <c r="J23">
        <v>0.2</v>
      </c>
      <c r="K23">
        <v>0.1</v>
      </c>
      <c r="L23">
        <v>0.2</v>
      </c>
      <c r="M23">
        <v>0.1</v>
      </c>
      <c r="N23">
        <v>0.2</v>
      </c>
      <c r="O23">
        <v>0.2</v>
      </c>
      <c r="P23">
        <v>0.2</v>
      </c>
      <c r="Q23">
        <v>0.1</v>
      </c>
      <c r="R23">
        <v>0.2</v>
      </c>
      <c r="S23">
        <v>0.2</v>
      </c>
      <c r="U23">
        <f t="shared" si="0"/>
        <v>0.17500000000000004</v>
      </c>
    </row>
    <row r="24" spans="1:21" x14ac:dyDescent="0.45">
      <c r="A24" t="s">
        <v>302</v>
      </c>
      <c r="B24" t="s">
        <v>114</v>
      </c>
      <c r="C24">
        <v>22</v>
      </c>
      <c r="D24">
        <v>0.2</v>
      </c>
      <c r="E24">
        <v>0.2</v>
      </c>
      <c r="F24">
        <v>0.2</v>
      </c>
      <c r="G24">
        <v>0.2</v>
      </c>
      <c r="H24">
        <v>0.1</v>
      </c>
      <c r="I24">
        <v>0.2</v>
      </c>
      <c r="J24">
        <v>0.2</v>
      </c>
      <c r="K24">
        <v>0.1</v>
      </c>
      <c r="L24">
        <v>0.2</v>
      </c>
      <c r="M24">
        <v>0.1</v>
      </c>
      <c r="N24">
        <v>0.2</v>
      </c>
      <c r="O24">
        <v>0.2</v>
      </c>
      <c r="P24">
        <v>0.2</v>
      </c>
      <c r="Q24">
        <v>0.1</v>
      </c>
      <c r="R24">
        <v>0.2</v>
      </c>
      <c r="S24">
        <v>0.2</v>
      </c>
      <c r="U24">
        <f t="shared" si="0"/>
        <v>0.17500000000000004</v>
      </c>
    </row>
    <row r="25" spans="1:21" x14ac:dyDescent="0.45">
      <c r="A25" t="s">
        <v>302</v>
      </c>
      <c r="B25" t="s">
        <v>114</v>
      </c>
      <c r="C25">
        <v>23</v>
      </c>
      <c r="D25">
        <v>0.2</v>
      </c>
      <c r="E25">
        <v>0.2</v>
      </c>
      <c r="F25">
        <v>0.2</v>
      </c>
      <c r="G25">
        <v>0.2</v>
      </c>
      <c r="H25">
        <v>0.1</v>
      </c>
      <c r="I25">
        <v>0.2</v>
      </c>
      <c r="J25">
        <v>0.2</v>
      </c>
      <c r="K25">
        <v>0.1</v>
      </c>
      <c r="L25">
        <v>0.2</v>
      </c>
      <c r="M25">
        <v>0.1</v>
      </c>
      <c r="N25">
        <v>0.2</v>
      </c>
      <c r="O25">
        <v>0.2</v>
      </c>
      <c r="P25">
        <v>0.2</v>
      </c>
      <c r="Q25">
        <v>0.1</v>
      </c>
      <c r="R25">
        <v>0.2</v>
      </c>
      <c r="S25">
        <v>0.2</v>
      </c>
      <c r="U25">
        <f t="shared" si="0"/>
        <v>0.17500000000000004</v>
      </c>
    </row>
    <row r="26" spans="1:21" x14ac:dyDescent="0.45">
      <c r="A26" t="s">
        <v>302</v>
      </c>
      <c r="B26" t="s">
        <v>114</v>
      </c>
      <c r="C26">
        <v>24</v>
      </c>
      <c r="D26">
        <v>0.2</v>
      </c>
      <c r="E26">
        <v>0.2</v>
      </c>
      <c r="F26">
        <v>0.2</v>
      </c>
      <c r="G26">
        <v>0.2</v>
      </c>
      <c r="H26">
        <v>0.1</v>
      </c>
      <c r="I26">
        <v>0.2</v>
      </c>
      <c r="J26">
        <v>0.2</v>
      </c>
      <c r="K26">
        <v>0.1</v>
      </c>
      <c r="L26">
        <v>0.2</v>
      </c>
      <c r="M26">
        <v>0.1</v>
      </c>
      <c r="N26">
        <v>0.2</v>
      </c>
      <c r="O26">
        <v>0.2</v>
      </c>
      <c r="P26">
        <v>0.2</v>
      </c>
      <c r="Q26">
        <v>0.1</v>
      </c>
      <c r="R26">
        <v>0.2</v>
      </c>
      <c r="S26">
        <v>0.2</v>
      </c>
      <c r="U26">
        <f t="shared" si="0"/>
        <v>0.17500000000000004</v>
      </c>
    </row>
    <row r="27" spans="1:21" x14ac:dyDescent="0.45">
      <c r="A27" t="s">
        <v>302</v>
      </c>
      <c r="B27" t="s">
        <v>114</v>
      </c>
      <c r="C27">
        <v>25</v>
      </c>
      <c r="D27">
        <v>0.2</v>
      </c>
      <c r="E27">
        <v>0.2</v>
      </c>
      <c r="F27">
        <v>0.2</v>
      </c>
      <c r="G27">
        <v>0.2</v>
      </c>
      <c r="H27">
        <v>0.1</v>
      </c>
      <c r="I27">
        <v>0.2</v>
      </c>
      <c r="J27">
        <v>0.2</v>
      </c>
      <c r="K27">
        <v>0.2</v>
      </c>
      <c r="L27">
        <v>0.2</v>
      </c>
      <c r="M27">
        <v>0.2</v>
      </c>
      <c r="N27">
        <v>0.2</v>
      </c>
      <c r="O27">
        <v>0.2</v>
      </c>
      <c r="P27">
        <v>0.1</v>
      </c>
      <c r="Q27">
        <v>0.2</v>
      </c>
      <c r="R27">
        <v>0.2</v>
      </c>
      <c r="S27">
        <v>0.1</v>
      </c>
      <c r="U27">
        <f t="shared" si="0"/>
        <v>0.18125000000000005</v>
      </c>
    </row>
    <row r="28" spans="1:21" x14ac:dyDescent="0.45">
      <c r="A28" t="s">
        <v>302</v>
      </c>
      <c r="B28" t="s">
        <v>114</v>
      </c>
      <c r="C28">
        <v>26</v>
      </c>
      <c r="D28">
        <v>0.2</v>
      </c>
      <c r="E28">
        <v>0.2</v>
      </c>
      <c r="F28">
        <v>0.2</v>
      </c>
      <c r="G28">
        <v>0.2</v>
      </c>
      <c r="H28">
        <v>0.1</v>
      </c>
      <c r="I28">
        <v>0.2</v>
      </c>
      <c r="J28">
        <v>0.2</v>
      </c>
      <c r="K28">
        <v>0.2</v>
      </c>
      <c r="L28">
        <v>0.2</v>
      </c>
      <c r="M28">
        <v>0.2</v>
      </c>
      <c r="N28">
        <v>0.2</v>
      </c>
      <c r="O28">
        <v>0.2</v>
      </c>
      <c r="P28">
        <v>0.1</v>
      </c>
      <c r="Q28">
        <v>0.2</v>
      </c>
      <c r="R28">
        <v>0.2</v>
      </c>
      <c r="S28">
        <v>0.1</v>
      </c>
      <c r="U28">
        <f t="shared" si="0"/>
        <v>0.18125000000000005</v>
      </c>
    </row>
    <row r="29" spans="1:21" x14ac:dyDescent="0.45">
      <c r="A29" t="s">
        <v>302</v>
      </c>
      <c r="B29" t="s">
        <v>114</v>
      </c>
      <c r="C29">
        <v>27</v>
      </c>
      <c r="D29">
        <v>0.2</v>
      </c>
      <c r="E29">
        <v>0.2</v>
      </c>
      <c r="F29">
        <v>0.2</v>
      </c>
      <c r="G29">
        <v>0.2</v>
      </c>
      <c r="H29">
        <v>0.1</v>
      </c>
      <c r="I29">
        <v>0.2</v>
      </c>
      <c r="J29">
        <v>0.2</v>
      </c>
      <c r="K29">
        <v>0.2</v>
      </c>
      <c r="L29">
        <v>0.2</v>
      </c>
      <c r="M29">
        <v>0.2</v>
      </c>
      <c r="N29">
        <v>0.2</v>
      </c>
      <c r="O29">
        <v>0.2</v>
      </c>
      <c r="P29">
        <v>0.1</v>
      </c>
      <c r="Q29">
        <v>0.2</v>
      </c>
      <c r="R29">
        <v>0.2</v>
      </c>
      <c r="S29">
        <v>0.1</v>
      </c>
      <c r="U29">
        <f t="shared" si="0"/>
        <v>0.18125000000000005</v>
      </c>
    </row>
    <row r="30" spans="1:21" x14ac:dyDescent="0.45">
      <c r="A30" t="s">
        <v>302</v>
      </c>
      <c r="B30" t="s">
        <v>114</v>
      </c>
      <c r="C30">
        <v>28</v>
      </c>
      <c r="D30">
        <v>0.2</v>
      </c>
      <c r="E30">
        <v>0.2</v>
      </c>
      <c r="F30">
        <v>0.2</v>
      </c>
      <c r="G30">
        <v>0.2</v>
      </c>
      <c r="H30">
        <v>0.1</v>
      </c>
      <c r="I30">
        <v>0.2</v>
      </c>
      <c r="J30">
        <v>0.2</v>
      </c>
      <c r="K30">
        <v>0.2</v>
      </c>
      <c r="L30">
        <v>0.2</v>
      </c>
      <c r="M30">
        <v>0.2</v>
      </c>
      <c r="N30">
        <v>0.2</v>
      </c>
      <c r="O30">
        <v>0.2</v>
      </c>
      <c r="P30">
        <v>0.1</v>
      </c>
      <c r="Q30">
        <v>0.2</v>
      </c>
      <c r="R30">
        <v>0.2</v>
      </c>
      <c r="S30">
        <v>0.1</v>
      </c>
      <c r="U30">
        <f t="shared" si="0"/>
        <v>0.18125000000000005</v>
      </c>
    </row>
    <row r="31" spans="1:21" x14ac:dyDescent="0.45">
      <c r="A31" t="s">
        <v>302</v>
      </c>
      <c r="B31" t="s">
        <v>114</v>
      </c>
      <c r="C31">
        <v>29</v>
      </c>
      <c r="D31">
        <v>0.2</v>
      </c>
      <c r="E31">
        <v>0.2</v>
      </c>
      <c r="F31">
        <v>0.2</v>
      </c>
      <c r="G31">
        <v>0.2</v>
      </c>
      <c r="H31">
        <v>0.1</v>
      </c>
      <c r="I31">
        <v>0.2</v>
      </c>
      <c r="J31">
        <v>0.2</v>
      </c>
      <c r="K31">
        <v>0.2</v>
      </c>
      <c r="L31">
        <v>0.2</v>
      </c>
      <c r="M31">
        <v>0.2</v>
      </c>
      <c r="N31">
        <v>0.2</v>
      </c>
      <c r="O31">
        <v>0.2</v>
      </c>
      <c r="P31">
        <v>0.1</v>
      </c>
      <c r="Q31">
        <v>0.2</v>
      </c>
      <c r="R31">
        <v>0.2</v>
      </c>
      <c r="S31">
        <v>0.1</v>
      </c>
      <c r="U31">
        <f t="shared" si="0"/>
        <v>0.18125000000000005</v>
      </c>
    </row>
    <row r="32" spans="1:21" x14ac:dyDescent="0.45">
      <c r="A32" t="s">
        <v>302</v>
      </c>
      <c r="B32" t="s">
        <v>114</v>
      </c>
      <c r="C32">
        <v>30</v>
      </c>
      <c r="D32">
        <v>0.2</v>
      </c>
      <c r="E32">
        <v>0.3</v>
      </c>
      <c r="F32">
        <v>0.4</v>
      </c>
      <c r="G32">
        <v>0.3</v>
      </c>
      <c r="H32">
        <v>0.2</v>
      </c>
      <c r="I32">
        <v>0.3</v>
      </c>
      <c r="J32">
        <v>0.2</v>
      </c>
      <c r="K32">
        <v>0.3</v>
      </c>
      <c r="L32">
        <v>0.3</v>
      </c>
      <c r="M32">
        <v>0.3</v>
      </c>
      <c r="N32">
        <v>0.2</v>
      </c>
      <c r="O32">
        <v>0.2</v>
      </c>
      <c r="P32">
        <v>0.3</v>
      </c>
      <c r="Q32">
        <v>0.2</v>
      </c>
      <c r="R32">
        <v>0.2</v>
      </c>
      <c r="S32">
        <v>0.3</v>
      </c>
      <c r="U32">
        <f t="shared" si="0"/>
        <v>0.26250000000000001</v>
      </c>
    </row>
    <row r="33" spans="1:21" x14ac:dyDescent="0.45">
      <c r="A33" t="s">
        <v>302</v>
      </c>
      <c r="B33" t="s">
        <v>114</v>
      </c>
      <c r="C33">
        <v>31</v>
      </c>
      <c r="D33">
        <v>0.2</v>
      </c>
      <c r="E33">
        <v>0.3</v>
      </c>
      <c r="F33">
        <v>0.4</v>
      </c>
      <c r="G33">
        <v>0.3</v>
      </c>
      <c r="H33">
        <v>0.2</v>
      </c>
      <c r="I33">
        <v>0.3</v>
      </c>
      <c r="J33">
        <v>0.2</v>
      </c>
      <c r="K33">
        <v>0.3</v>
      </c>
      <c r="L33">
        <v>0.3</v>
      </c>
      <c r="M33">
        <v>0.3</v>
      </c>
      <c r="N33">
        <v>0.2</v>
      </c>
      <c r="O33">
        <v>0.2</v>
      </c>
      <c r="P33">
        <v>0.3</v>
      </c>
      <c r="Q33">
        <v>0.2</v>
      </c>
      <c r="R33">
        <v>0.2</v>
      </c>
      <c r="S33">
        <v>0.3</v>
      </c>
      <c r="U33">
        <f t="shared" si="0"/>
        <v>0.26250000000000001</v>
      </c>
    </row>
    <row r="34" spans="1:21" x14ac:dyDescent="0.45">
      <c r="A34" t="s">
        <v>302</v>
      </c>
      <c r="B34" t="s">
        <v>114</v>
      </c>
      <c r="C34">
        <v>32</v>
      </c>
      <c r="D34">
        <v>0.2</v>
      </c>
      <c r="E34">
        <v>0.3</v>
      </c>
      <c r="F34">
        <v>0.4</v>
      </c>
      <c r="G34">
        <v>0.3</v>
      </c>
      <c r="H34">
        <v>0.2</v>
      </c>
      <c r="I34">
        <v>0.3</v>
      </c>
      <c r="J34">
        <v>0.2</v>
      </c>
      <c r="K34">
        <v>0.3</v>
      </c>
      <c r="L34">
        <v>0.3</v>
      </c>
      <c r="M34">
        <v>0.3</v>
      </c>
      <c r="N34">
        <v>0.2</v>
      </c>
      <c r="O34">
        <v>0.2</v>
      </c>
      <c r="P34">
        <v>0.3</v>
      </c>
      <c r="Q34">
        <v>0.2</v>
      </c>
      <c r="R34">
        <v>0.2</v>
      </c>
      <c r="S34">
        <v>0.3</v>
      </c>
      <c r="U34">
        <f t="shared" si="0"/>
        <v>0.26250000000000001</v>
      </c>
    </row>
    <row r="35" spans="1:21" x14ac:dyDescent="0.45">
      <c r="A35" t="s">
        <v>302</v>
      </c>
      <c r="B35" t="s">
        <v>114</v>
      </c>
      <c r="C35">
        <v>33</v>
      </c>
      <c r="D35">
        <v>0.2</v>
      </c>
      <c r="E35">
        <v>0.3</v>
      </c>
      <c r="F35">
        <v>0.4</v>
      </c>
      <c r="G35">
        <v>0.3</v>
      </c>
      <c r="H35">
        <v>0.2</v>
      </c>
      <c r="I35">
        <v>0.3</v>
      </c>
      <c r="J35">
        <v>0.2</v>
      </c>
      <c r="K35">
        <v>0.3</v>
      </c>
      <c r="L35">
        <v>0.3</v>
      </c>
      <c r="M35">
        <v>0.3</v>
      </c>
      <c r="N35">
        <v>0.2</v>
      </c>
      <c r="O35">
        <v>0.2</v>
      </c>
      <c r="P35">
        <v>0.3</v>
      </c>
      <c r="Q35">
        <v>0.2</v>
      </c>
      <c r="R35">
        <v>0.2</v>
      </c>
      <c r="S35">
        <v>0.3</v>
      </c>
      <c r="U35">
        <f t="shared" si="0"/>
        <v>0.26250000000000001</v>
      </c>
    </row>
    <row r="36" spans="1:21" x14ac:dyDescent="0.45">
      <c r="A36" t="s">
        <v>302</v>
      </c>
      <c r="B36" t="s">
        <v>114</v>
      </c>
      <c r="C36">
        <v>34</v>
      </c>
      <c r="D36">
        <v>0.2</v>
      </c>
      <c r="E36">
        <v>0.3</v>
      </c>
      <c r="F36">
        <v>0.4</v>
      </c>
      <c r="G36">
        <v>0.3</v>
      </c>
      <c r="H36">
        <v>0.2</v>
      </c>
      <c r="I36">
        <v>0.3</v>
      </c>
      <c r="J36">
        <v>0.2</v>
      </c>
      <c r="K36">
        <v>0.3</v>
      </c>
      <c r="L36">
        <v>0.3</v>
      </c>
      <c r="M36">
        <v>0.3</v>
      </c>
      <c r="N36">
        <v>0.2</v>
      </c>
      <c r="O36">
        <v>0.2</v>
      </c>
      <c r="P36">
        <v>0.3</v>
      </c>
      <c r="Q36">
        <v>0.2</v>
      </c>
      <c r="R36">
        <v>0.2</v>
      </c>
      <c r="S36">
        <v>0.3</v>
      </c>
      <c r="U36">
        <f t="shared" si="0"/>
        <v>0.26250000000000001</v>
      </c>
    </row>
    <row r="37" spans="1:21" x14ac:dyDescent="0.45">
      <c r="A37" t="s">
        <v>302</v>
      </c>
      <c r="B37" t="s">
        <v>114</v>
      </c>
      <c r="C37">
        <v>35</v>
      </c>
      <c r="D37">
        <v>0.5</v>
      </c>
      <c r="E37">
        <v>0.4</v>
      </c>
      <c r="F37">
        <v>0.5</v>
      </c>
      <c r="G37">
        <v>0.4</v>
      </c>
      <c r="H37">
        <v>0.3</v>
      </c>
      <c r="I37">
        <v>0.4</v>
      </c>
      <c r="J37">
        <v>0.3</v>
      </c>
      <c r="K37">
        <v>0.3</v>
      </c>
      <c r="L37">
        <v>0.4</v>
      </c>
      <c r="M37">
        <v>0.3</v>
      </c>
      <c r="N37">
        <v>0.4</v>
      </c>
      <c r="O37">
        <v>0.4</v>
      </c>
      <c r="P37">
        <v>0.5</v>
      </c>
      <c r="Q37">
        <v>0.4</v>
      </c>
      <c r="R37">
        <v>0.4</v>
      </c>
      <c r="S37">
        <v>0.4</v>
      </c>
      <c r="U37">
        <f t="shared" si="0"/>
        <v>0.39375000000000004</v>
      </c>
    </row>
    <row r="38" spans="1:21" x14ac:dyDescent="0.45">
      <c r="A38" t="s">
        <v>302</v>
      </c>
      <c r="B38" t="s">
        <v>114</v>
      </c>
      <c r="C38">
        <v>36</v>
      </c>
      <c r="D38">
        <v>0.5</v>
      </c>
      <c r="E38">
        <v>0.4</v>
      </c>
      <c r="F38">
        <v>0.5</v>
      </c>
      <c r="G38">
        <v>0.4</v>
      </c>
      <c r="H38">
        <v>0.3</v>
      </c>
      <c r="I38">
        <v>0.4</v>
      </c>
      <c r="J38">
        <v>0.3</v>
      </c>
      <c r="K38">
        <v>0.3</v>
      </c>
      <c r="L38">
        <v>0.4</v>
      </c>
      <c r="M38">
        <v>0.3</v>
      </c>
      <c r="N38">
        <v>0.4</v>
      </c>
      <c r="O38">
        <v>0.4</v>
      </c>
      <c r="P38">
        <v>0.5</v>
      </c>
      <c r="Q38">
        <v>0.4</v>
      </c>
      <c r="R38">
        <v>0.4</v>
      </c>
      <c r="S38">
        <v>0.4</v>
      </c>
      <c r="U38">
        <f t="shared" si="0"/>
        <v>0.39375000000000004</v>
      </c>
    </row>
    <row r="39" spans="1:21" x14ac:dyDescent="0.45">
      <c r="A39" t="s">
        <v>302</v>
      </c>
      <c r="B39" t="s">
        <v>114</v>
      </c>
      <c r="C39">
        <v>37</v>
      </c>
      <c r="D39">
        <v>0.5</v>
      </c>
      <c r="E39">
        <v>0.4</v>
      </c>
      <c r="F39">
        <v>0.5</v>
      </c>
      <c r="G39">
        <v>0.4</v>
      </c>
      <c r="H39">
        <v>0.3</v>
      </c>
      <c r="I39">
        <v>0.4</v>
      </c>
      <c r="J39">
        <v>0.3</v>
      </c>
      <c r="K39">
        <v>0.3</v>
      </c>
      <c r="L39">
        <v>0.4</v>
      </c>
      <c r="M39">
        <v>0.3</v>
      </c>
      <c r="N39">
        <v>0.4</v>
      </c>
      <c r="O39">
        <v>0.4</v>
      </c>
      <c r="P39">
        <v>0.5</v>
      </c>
      <c r="Q39">
        <v>0.4</v>
      </c>
      <c r="R39">
        <v>0.4</v>
      </c>
      <c r="S39">
        <v>0.4</v>
      </c>
      <c r="U39">
        <f t="shared" si="0"/>
        <v>0.39375000000000004</v>
      </c>
    </row>
    <row r="40" spans="1:21" x14ac:dyDescent="0.45">
      <c r="A40" t="s">
        <v>302</v>
      </c>
      <c r="B40" t="s">
        <v>114</v>
      </c>
      <c r="C40">
        <v>38</v>
      </c>
      <c r="D40">
        <v>0.5</v>
      </c>
      <c r="E40">
        <v>0.4</v>
      </c>
      <c r="F40">
        <v>0.5</v>
      </c>
      <c r="G40">
        <v>0.4</v>
      </c>
      <c r="H40">
        <v>0.3</v>
      </c>
      <c r="I40">
        <v>0.4</v>
      </c>
      <c r="J40">
        <v>0.3</v>
      </c>
      <c r="K40">
        <v>0.3</v>
      </c>
      <c r="L40">
        <v>0.4</v>
      </c>
      <c r="M40">
        <v>0.3</v>
      </c>
      <c r="N40">
        <v>0.4</v>
      </c>
      <c r="O40">
        <v>0.4</v>
      </c>
      <c r="P40">
        <v>0.5</v>
      </c>
      <c r="Q40">
        <v>0.4</v>
      </c>
      <c r="R40">
        <v>0.4</v>
      </c>
      <c r="S40">
        <v>0.4</v>
      </c>
      <c r="U40">
        <f t="shared" si="0"/>
        <v>0.39375000000000004</v>
      </c>
    </row>
    <row r="41" spans="1:21" x14ac:dyDescent="0.45">
      <c r="A41" t="s">
        <v>302</v>
      </c>
      <c r="B41" t="s">
        <v>114</v>
      </c>
      <c r="C41">
        <v>39</v>
      </c>
      <c r="D41">
        <v>0.5</v>
      </c>
      <c r="E41">
        <v>0.4</v>
      </c>
      <c r="F41">
        <v>0.5</v>
      </c>
      <c r="G41">
        <v>0.4</v>
      </c>
      <c r="H41">
        <v>0.3</v>
      </c>
      <c r="I41">
        <v>0.4</v>
      </c>
      <c r="J41">
        <v>0.3</v>
      </c>
      <c r="K41">
        <v>0.3</v>
      </c>
      <c r="L41">
        <v>0.4</v>
      </c>
      <c r="M41">
        <v>0.3</v>
      </c>
      <c r="N41">
        <v>0.4</v>
      </c>
      <c r="O41">
        <v>0.4</v>
      </c>
      <c r="P41">
        <v>0.5</v>
      </c>
      <c r="Q41">
        <v>0.4</v>
      </c>
      <c r="R41">
        <v>0.4</v>
      </c>
      <c r="S41">
        <v>0.4</v>
      </c>
      <c r="U41">
        <f t="shared" si="0"/>
        <v>0.39375000000000004</v>
      </c>
    </row>
    <row r="42" spans="1:21" x14ac:dyDescent="0.45">
      <c r="A42" t="s">
        <v>302</v>
      </c>
      <c r="B42" t="s">
        <v>114</v>
      </c>
      <c r="C42">
        <v>40</v>
      </c>
      <c r="D42">
        <v>0.7</v>
      </c>
      <c r="E42">
        <v>0.8</v>
      </c>
      <c r="F42">
        <v>0.7</v>
      </c>
      <c r="G42">
        <v>0.7</v>
      </c>
      <c r="H42">
        <v>0.7</v>
      </c>
      <c r="I42">
        <v>0.6</v>
      </c>
      <c r="J42">
        <v>0.8</v>
      </c>
      <c r="K42">
        <v>0.5</v>
      </c>
      <c r="L42">
        <v>0.5</v>
      </c>
      <c r="M42">
        <v>0.6</v>
      </c>
      <c r="N42">
        <v>0.6</v>
      </c>
      <c r="O42">
        <v>0.6</v>
      </c>
      <c r="P42">
        <v>0.5</v>
      </c>
      <c r="Q42">
        <v>0.6</v>
      </c>
      <c r="R42">
        <v>0.6</v>
      </c>
      <c r="S42">
        <v>0.6</v>
      </c>
      <c r="U42">
        <f t="shared" si="0"/>
        <v>0.63124999999999987</v>
      </c>
    </row>
    <row r="43" spans="1:21" x14ac:dyDescent="0.45">
      <c r="A43" t="s">
        <v>302</v>
      </c>
      <c r="B43" t="s">
        <v>114</v>
      </c>
      <c r="C43">
        <v>41</v>
      </c>
      <c r="D43">
        <v>0.7</v>
      </c>
      <c r="E43">
        <v>0.8</v>
      </c>
      <c r="F43">
        <v>0.7</v>
      </c>
      <c r="G43">
        <v>0.7</v>
      </c>
      <c r="H43">
        <v>0.7</v>
      </c>
      <c r="I43">
        <v>0.6</v>
      </c>
      <c r="J43">
        <v>0.8</v>
      </c>
      <c r="K43">
        <v>0.5</v>
      </c>
      <c r="L43">
        <v>0.5</v>
      </c>
      <c r="M43">
        <v>0.6</v>
      </c>
      <c r="N43">
        <v>0.6</v>
      </c>
      <c r="O43">
        <v>0.6</v>
      </c>
      <c r="P43">
        <v>0.5</v>
      </c>
      <c r="Q43">
        <v>0.6</v>
      </c>
      <c r="R43">
        <v>0.6</v>
      </c>
      <c r="S43">
        <v>0.6</v>
      </c>
      <c r="U43">
        <f t="shared" si="0"/>
        <v>0.63124999999999987</v>
      </c>
    </row>
    <row r="44" spans="1:21" x14ac:dyDescent="0.45">
      <c r="A44" t="s">
        <v>302</v>
      </c>
      <c r="B44" t="s">
        <v>114</v>
      </c>
      <c r="C44">
        <v>42</v>
      </c>
      <c r="D44">
        <v>0.7</v>
      </c>
      <c r="E44">
        <v>0.8</v>
      </c>
      <c r="F44">
        <v>0.7</v>
      </c>
      <c r="G44">
        <v>0.7</v>
      </c>
      <c r="H44">
        <v>0.7</v>
      </c>
      <c r="I44">
        <v>0.6</v>
      </c>
      <c r="J44">
        <v>0.8</v>
      </c>
      <c r="K44">
        <v>0.5</v>
      </c>
      <c r="L44">
        <v>0.5</v>
      </c>
      <c r="M44">
        <v>0.6</v>
      </c>
      <c r="N44">
        <v>0.6</v>
      </c>
      <c r="O44">
        <v>0.6</v>
      </c>
      <c r="P44">
        <v>0.5</v>
      </c>
      <c r="Q44">
        <v>0.6</v>
      </c>
      <c r="R44">
        <v>0.6</v>
      </c>
      <c r="S44">
        <v>0.6</v>
      </c>
      <c r="U44">
        <f t="shared" si="0"/>
        <v>0.63124999999999987</v>
      </c>
    </row>
    <row r="45" spans="1:21" x14ac:dyDescent="0.45">
      <c r="A45" t="s">
        <v>302</v>
      </c>
      <c r="B45" t="s">
        <v>114</v>
      </c>
      <c r="C45">
        <v>43</v>
      </c>
      <c r="D45">
        <v>0.7</v>
      </c>
      <c r="E45">
        <v>0.8</v>
      </c>
      <c r="F45">
        <v>0.7</v>
      </c>
      <c r="G45">
        <v>0.7</v>
      </c>
      <c r="H45">
        <v>0.7</v>
      </c>
      <c r="I45">
        <v>0.6</v>
      </c>
      <c r="J45">
        <v>0.8</v>
      </c>
      <c r="K45">
        <v>0.5</v>
      </c>
      <c r="L45">
        <v>0.5</v>
      </c>
      <c r="M45">
        <v>0.6</v>
      </c>
      <c r="N45">
        <v>0.6</v>
      </c>
      <c r="O45">
        <v>0.6</v>
      </c>
      <c r="P45">
        <v>0.5</v>
      </c>
      <c r="Q45">
        <v>0.6</v>
      </c>
      <c r="R45">
        <v>0.6</v>
      </c>
      <c r="S45">
        <v>0.6</v>
      </c>
      <c r="U45">
        <f t="shared" si="0"/>
        <v>0.63124999999999987</v>
      </c>
    </row>
    <row r="46" spans="1:21" x14ac:dyDescent="0.45">
      <c r="A46" t="s">
        <v>302</v>
      </c>
      <c r="B46" t="s">
        <v>114</v>
      </c>
      <c r="C46">
        <v>44</v>
      </c>
      <c r="D46">
        <v>0.7</v>
      </c>
      <c r="E46">
        <v>0.8</v>
      </c>
      <c r="F46">
        <v>0.7</v>
      </c>
      <c r="G46">
        <v>0.7</v>
      </c>
      <c r="H46">
        <v>0.7</v>
      </c>
      <c r="I46">
        <v>0.6</v>
      </c>
      <c r="J46">
        <v>0.8</v>
      </c>
      <c r="K46">
        <v>0.5</v>
      </c>
      <c r="L46">
        <v>0.5</v>
      </c>
      <c r="M46">
        <v>0.6</v>
      </c>
      <c r="N46">
        <v>0.6</v>
      </c>
      <c r="O46">
        <v>0.6</v>
      </c>
      <c r="P46">
        <v>0.5</v>
      </c>
      <c r="Q46">
        <v>0.6</v>
      </c>
      <c r="R46">
        <v>0.6</v>
      </c>
      <c r="S46">
        <v>0.6</v>
      </c>
      <c r="U46">
        <f t="shared" si="0"/>
        <v>0.63124999999999987</v>
      </c>
    </row>
    <row r="47" spans="1:21" x14ac:dyDescent="0.45">
      <c r="A47" t="s">
        <v>302</v>
      </c>
      <c r="B47" t="s">
        <v>114</v>
      </c>
      <c r="C47">
        <v>45</v>
      </c>
      <c r="D47">
        <v>1.2</v>
      </c>
      <c r="E47">
        <v>1.3</v>
      </c>
      <c r="F47">
        <v>1.3</v>
      </c>
      <c r="G47">
        <v>1.1000000000000001</v>
      </c>
      <c r="H47">
        <v>1.2</v>
      </c>
      <c r="I47">
        <v>1.1000000000000001</v>
      </c>
      <c r="J47">
        <v>1.1000000000000001</v>
      </c>
      <c r="K47">
        <v>1.1000000000000001</v>
      </c>
      <c r="L47">
        <v>1</v>
      </c>
      <c r="M47">
        <v>0.9</v>
      </c>
      <c r="N47">
        <v>1</v>
      </c>
      <c r="O47">
        <v>1.1000000000000001</v>
      </c>
      <c r="P47">
        <v>1</v>
      </c>
      <c r="Q47">
        <v>0.9</v>
      </c>
      <c r="R47">
        <v>1</v>
      </c>
      <c r="S47">
        <v>1</v>
      </c>
      <c r="U47">
        <f t="shared" si="0"/>
        <v>1.08125</v>
      </c>
    </row>
    <row r="48" spans="1:21" x14ac:dyDescent="0.45">
      <c r="A48" t="s">
        <v>302</v>
      </c>
      <c r="B48" t="s">
        <v>114</v>
      </c>
      <c r="C48">
        <v>46</v>
      </c>
      <c r="D48">
        <v>1.2</v>
      </c>
      <c r="E48">
        <v>1.3</v>
      </c>
      <c r="F48">
        <v>1.3</v>
      </c>
      <c r="G48">
        <v>1.1000000000000001</v>
      </c>
      <c r="H48">
        <v>1.2</v>
      </c>
      <c r="I48">
        <v>1.1000000000000001</v>
      </c>
      <c r="J48">
        <v>1.1000000000000001</v>
      </c>
      <c r="K48">
        <v>1.1000000000000001</v>
      </c>
      <c r="L48">
        <v>1</v>
      </c>
      <c r="M48">
        <v>0.9</v>
      </c>
      <c r="N48">
        <v>1</v>
      </c>
      <c r="O48">
        <v>1.1000000000000001</v>
      </c>
      <c r="P48">
        <v>1</v>
      </c>
      <c r="Q48">
        <v>0.9</v>
      </c>
      <c r="R48">
        <v>1</v>
      </c>
      <c r="S48">
        <v>1</v>
      </c>
      <c r="U48">
        <f t="shared" si="0"/>
        <v>1.08125</v>
      </c>
    </row>
    <row r="49" spans="1:21" x14ac:dyDescent="0.45">
      <c r="A49" t="s">
        <v>302</v>
      </c>
      <c r="B49" t="s">
        <v>114</v>
      </c>
      <c r="C49">
        <v>47</v>
      </c>
      <c r="D49">
        <v>1.2</v>
      </c>
      <c r="E49">
        <v>1.3</v>
      </c>
      <c r="F49">
        <v>1.3</v>
      </c>
      <c r="G49">
        <v>1.1000000000000001</v>
      </c>
      <c r="H49">
        <v>1.2</v>
      </c>
      <c r="I49">
        <v>1.1000000000000001</v>
      </c>
      <c r="J49">
        <v>1.1000000000000001</v>
      </c>
      <c r="K49">
        <v>1.1000000000000001</v>
      </c>
      <c r="L49">
        <v>1</v>
      </c>
      <c r="M49">
        <v>0.9</v>
      </c>
      <c r="N49">
        <v>1</v>
      </c>
      <c r="O49">
        <v>1.1000000000000001</v>
      </c>
      <c r="P49">
        <v>1</v>
      </c>
      <c r="Q49">
        <v>0.9</v>
      </c>
      <c r="R49">
        <v>1</v>
      </c>
      <c r="S49">
        <v>1</v>
      </c>
      <c r="U49">
        <f t="shared" si="0"/>
        <v>1.08125</v>
      </c>
    </row>
    <row r="50" spans="1:21" x14ac:dyDescent="0.45">
      <c r="A50" t="s">
        <v>302</v>
      </c>
      <c r="B50" t="s">
        <v>114</v>
      </c>
      <c r="C50">
        <v>48</v>
      </c>
      <c r="D50">
        <v>1.2</v>
      </c>
      <c r="E50">
        <v>1.3</v>
      </c>
      <c r="F50">
        <v>1.3</v>
      </c>
      <c r="G50">
        <v>1.1000000000000001</v>
      </c>
      <c r="H50">
        <v>1.2</v>
      </c>
      <c r="I50">
        <v>1.1000000000000001</v>
      </c>
      <c r="J50">
        <v>1.1000000000000001</v>
      </c>
      <c r="K50">
        <v>1.1000000000000001</v>
      </c>
      <c r="L50">
        <v>1</v>
      </c>
      <c r="M50">
        <v>0.9</v>
      </c>
      <c r="N50">
        <v>1</v>
      </c>
      <c r="O50">
        <v>1.1000000000000001</v>
      </c>
      <c r="P50">
        <v>1</v>
      </c>
      <c r="Q50">
        <v>0.9</v>
      </c>
      <c r="R50">
        <v>1</v>
      </c>
      <c r="S50">
        <v>1</v>
      </c>
      <c r="U50">
        <f t="shared" si="0"/>
        <v>1.08125</v>
      </c>
    </row>
    <row r="51" spans="1:21" x14ac:dyDescent="0.45">
      <c r="A51" t="s">
        <v>302</v>
      </c>
      <c r="B51" t="s">
        <v>114</v>
      </c>
      <c r="C51">
        <v>49</v>
      </c>
      <c r="D51">
        <v>1.2</v>
      </c>
      <c r="E51">
        <v>1.3</v>
      </c>
      <c r="F51">
        <v>1.3</v>
      </c>
      <c r="G51">
        <v>1.1000000000000001</v>
      </c>
      <c r="H51">
        <v>1.2</v>
      </c>
      <c r="I51">
        <v>1.1000000000000001</v>
      </c>
      <c r="J51">
        <v>1.1000000000000001</v>
      </c>
      <c r="K51">
        <v>1.1000000000000001</v>
      </c>
      <c r="L51">
        <v>1</v>
      </c>
      <c r="M51">
        <v>0.9</v>
      </c>
      <c r="N51">
        <v>1</v>
      </c>
      <c r="O51">
        <v>1.1000000000000001</v>
      </c>
      <c r="P51">
        <v>1</v>
      </c>
      <c r="Q51">
        <v>0.9</v>
      </c>
      <c r="R51">
        <v>1</v>
      </c>
      <c r="S51">
        <v>1</v>
      </c>
      <c r="U51">
        <f t="shared" si="0"/>
        <v>1.08125</v>
      </c>
    </row>
    <row r="52" spans="1:21" x14ac:dyDescent="0.45">
      <c r="A52" t="s">
        <v>302</v>
      </c>
      <c r="B52" t="s">
        <v>114</v>
      </c>
      <c r="C52">
        <v>50</v>
      </c>
      <c r="D52">
        <v>1.9</v>
      </c>
      <c r="E52">
        <v>2.1</v>
      </c>
      <c r="F52">
        <v>2</v>
      </c>
      <c r="G52">
        <v>2</v>
      </c>
      <c r="H52">
        <v>1.9</v>
      </c>
      <c r="I52">
        <v>1.9</v>
      </c>
      <c r="J52">
        <v>1.8</v>
      </c>
      <c r="K52">
        <v>2</v>
      </c>
      <c r="L52">
        <v>1.8</v>
      </c>
      <c r="M52">
        <v>1.7</v>
      </c>
      <c r="N52">
        <v>1.7</v>
      </c>
      <c r="O52">
        <v>1.8</v>
      </c>
      <c r="P52">
        <v>1.6</v>
      </c>
      <c r="Q52">
        <v>1.5</v>
      </c>
      <c r="R52">
        <v>1.6</v>
      </c>
      <c r="S52">
        <v>1.6</v>
      </c>
      <c r="U52">
        <f t="shared" si="0"/>
        <v>1.8062500000000004</v>
      </c>
    </row>
    <row r="53" spans="1:21" x14ac:dyDescent="0.45">
      <c r="A53" t="s">
        <v>302</v>
      </c>
      <c r="B53" t="s">
        <v>114</v>
      </c>
      <c r="C53">
        <v>51</v>
      </c>
      <c r="D53">
        <v>1.9</v>
      </c>
      <c r="E53">
        <v>2.1</v>
      </c>
      <c r="F53">
        <v>2</v>
      </c>
      <c r="G53">
        <v>2</v>
      </c>
      <c r="H53">
        <v>1.9</v>
      </c>
      <c r="I53">
        <v>1.9</v>
      </c>
      <c r="J53">
        <v>1.8</v>
      </c>
      <c r="K53">
        <v>2</v>
      </c>
      <c r="L53">
        <v>1.8</v>
      </c>
      <c r="M53">
        <v>1.7</v>
      </c>
      <c r="N53">
        <v>1.7</v>
      </c>
      <c r="O53">
        <v>1.8</v>
      </c>
      <c r="P53">
        <v>1.6</v>
      </c>
      <c r="Q53">
        <v>1.5</v>
      </c>
      <c r="R53">
        <v>1.6</v>
      </c>
      <c r="S53">
        <v>1.6</v>
      </c>
      <c r="U53">
        <f t="shared" si="0"/>
        <v>1.8062500000000004</v>
      </c>
    </row>
    <row r="54" spans="1:21" x14ac:dyDescent="0.45">
      <c r="A54" t="s">
        <v>302</v>
      </c>
      <c r="B54" t="s">
        <v>114</v>
      </c>
      <c r="C54">
        <v>52</v>
      </c>
      <c r="D54">
        <v>1.9</v>
      </c>
      <c r="E54">
        <v>2.1</v>
      </c>
      <c r="F54">
        <v>2</v>
      </c>
      <c r="G54">
        <v>2</v>
      </c>
      <c r="H54">
        <v>1.9</v>
      </c>
      <c r="I54">
        <v>1.9</v>
      </c>
      <c r="J54">
        <v>1.8</v>
      </c>
      <c r="K54">
        <v>2</v>
      </c>
      <c r="L54">
        <v>1.8</v>
      </c>
      <c r="M54">
        <v>1.7</v>
      </c>
      <c r="N54">
        <v>1.7</v>
      </c>
      <c r="O54">
        <v>1.8</v>
      </c>
      <c r="P54">
        <v>1.6</v>
      </c>
      <c r="Q54">
        <v>1.5</v>
      </c>
      <c r="R54">
        <v>1.6</v>
      </c>
      <c r="S54">
        <v>1.6</v>
      </c>
      <c r="U54">
        <f t="shared" si="0"/>
        <v>1.8062500000000004</v>
      </c>
    </row>
    <row r="55" spans="1:21" x14ac:dyDescent="0.45">
      <c r="A55" t="s">
        <v>302</v>
      </c>
      <c r="B55" t="s">
        <v>114</v>
      </c>
      <c r="C55">
        <v>53</v>
      </c>
      <c r="D55">
        <v>1.9</v>
      </c>
      <c r="E55">
        <v>2.1</v>
      </c>
      <c r="F55">
        <v>2</v>
      </c>
      <c r="G55">
        <v>2</v>
      </c>
      <c r="H55">
        <v>1.9</v>
      </c>
      <c r="I55">
        <v>1.9</v>
      </c>
      <c r="J55">
        <v>1.8</v>
      </c>
      <c r="K55">
        <v>2</v>
      </c>
      <c r="L55">
        <v>1.8</v>
      </c>
      <c r="M55">
        <v>1.7</v>
      </c>
      <c r="N55">
        <v>1.7</v>
      </c>
      <c r="O55">
        <v>1.8</v>
      </c>
      <c r="P55">
        <v>1.6</v>
      </c>
      <c r="Q55">
        <v>1.5</v>
      </c>
      <c r="R55">
        <v>1.6</v>
      </c>
      <c r="S55">
        <v>1.6</v>
      </c>
      <c r="U55">
        <f t="shared" si="0"/>
        <v>1.8062500000000004</v>
      </c>
    </row>
    <row r="56" spans="1:21" x14ac:dyDescent="0.45">
      <c r="A56" t="s">
        <v>302</v>
      </c>
      <c r="B56" t="s">
        <v>114</v>
      </c>
      <c r="C56">
        <v>54</v>
      </c>
      <c r="D56">
        <v>1.9</v>
      </c>
      <c r="E56">
        <v>2.1</v>
      </c>
      <c r="F56">
        <v>2</v>
      </c>
      <c r="G56">
        <v>2</v>
      </c>
      <c r="H56">
        <v>1.9</v>
      </c>
      <c r="I56">
        <v>1.9</v>
      </c>
      <c r="J56">
        <v>1.8</v>
      </c>
      <c r="K56">
        <v>2</v>
      </c>
      <c r="L56">
        <v>1.8</v>
      </c>
      <c r="M56">
        <v>1.7</v>
      </c>
      <c r="N56">
        <v>1.7</v>
      </c>
      <c r="O56">
        <v>1.8</v>
      </c>
      <c r="P56">
        <v>1.6</v>
      </c>
      <c r="Q56">
        <v>1.5</v>
      </c>
      <c r="R56">
        <v>1.6</v>
      </c>
      <c r="S56">
        <v>1.6</v>
      </c>
      <c r="U56">
        <f t="shared" si="0"/>
        <v>1.8062500000000004</v>
      </c>
    </row>
    <row r="57" spans="1:21" x14ac:dyDescent="0.45">
      <c r="A57" t="s">
        <v>302</v>
      </c>
      <c r="B57" t="s">
        <v>114</v>
      </c>
      <c r="C57">
        <v>55</v>
      </c>
      <c r="D57">
        <v>3.3</v>
      </c>
      <c r="E57">
        <v>2.9</v>
      </c>
      <c r="F57">
        <v>3.3</v>
      </c>
      <c r="G57">
        <v>3</v>
      </c>
      <c r="H57">
        <v>3.2</v>
      </c>
      <c r="I57">
        <v>3.1</v>
      </c>
      <c r="J57">
        <v>3</v>
      </c>
      <c r="K57">
        <v>3</v>
      </c>
      <c r="L57">
        <v>2.7</v>
      </c>
      <c r="M57">
        <v>2.8</v>
      </c>
      <c r="N57">
        <v>2.7</v>
      </c>
      <c r="O57">
        <v>2.6</v>
      </c>
      <c r="P57">
        <v>2.7</v>
      </c>
      <c r="Q57">
        <v>2.6</v>
      </c>
      <c r="R57">
        <v>2.4</v>
      </c>
      <c r="S57">
        <v>2.4</v>
      </c>
      <c r="U57">
        <f t="shared" si="0"/>
        <v>2.8562500000000002</v>
      </c>
    </row>
    <row r="58" spans="1:21" x14ac:dyDescent="0.45">
      <c r="A58" t="s">
        <v>302</v>
      </c>
      <c r="B58" t="s">
        <v>114</v>
      </c>
      <c r="C58">
        <v>56</v>
      </c>
      <c r="D58">
        <v>3.3</v>
      </c>
      <c r="E58">
        <v>2.9</v>
      </c>
      <c r="F58">
        <v>3.3</v>
      </c>
      <c r="G58">
        <v>3</v>
      </c>
      <c r="H58">
        <v>3.2</v>
      </c>
      <c r="I58">
        <v>3.1</v>
      </c>
      <c r="J58">
        <v>3</v>
      </c>
      <c r="K58">
        <v>3</v>
      </c>
      <c r="L58">
        <v>2.7</v>
      </c>
      <c r="M58">
        <v>2.8</v>
      </c>
      <c r="N58">
        <v>2.7</v>
      </c>
      <c r="O58">
        <v>2.6</v>
      </c>
      <c r="P58">
        <v>2.7</v>
      </c>
      <c r="Q58">
        <v>2.6</v>
      </c>
      <c r="R58">
        <v>2.4</v>
      </c>
      <c r="S58">
        <v>2.4</v>
      </c>
      <c r="U58">
        <f t="shared" si="0"/>
        <v>2.8562500000000002</v>
      </c>
    </row>
    <row r="59" spans="1:21" x14ac:dyDescent="0.45">
      <c r="A59" t="s">
        <v>302</v>
      </c>
      <c r="B59" t="s">
        <v>114</v>
      </c>
      <c r="C59">
        <v>57</v>
      </c>
      <c r="D59">
        <v>3.3</v>
      </c>
      <c r="E59">
        <v>2.9</v>
      </c>
      <c r="F59">
        <v>3.3</v>
      </c>
      <c r="G59">
        <v>3</v>
      </c>
      <c r="H59">
        <v>3.2</v>
      </c>
      <c r="I59">
        <v>3.1</v>
      </c>
      <c r="J59">
        <v>3</v>
      </c>
      <c r="K59">
        <v>3</v>
      </c>
      <c r="L59">
        <v>2.7</v>
      </c>
      <c r="M59">
        <v>2.8</v>
      </c>
      <c r="N59">
        <v>2.7</v>
      </c>
      <c r="O59">
        <v>2.6</v>
      </c>
      <c r="P59">
        <v>2.7</v>
      </c>
      <c r="Q59">
        <v>2.6</v>
      </c>
      <c r="R59">
        <v>2.4</v>
      </c>
      <c r="S59">
        <v>2.4</v>
      </c>
      <c r="U59">
        <f t="shared" si="0"/>
        <v>2.8562500000000002</v>
      </c>
    </row>
    <row r="60" spans="1:21" x14ac:dyDescent="0.45">
      <c r="A60" t="s">
        <v>302</v>
      </c>
      <c r="B60" t="s">
        <v>114</v>
      </c>
      <c r="C60">
        <v>58</v>
      </c>
      <c r="D60">
        <v>3.3</v>
      </c>
      <c r="E60">
        <v>2.9</v>
      </c>
      <c r="F60">
        <v>3.3</v>
      </c>
      <c r="G60">
        <v>3</v>
      </c>
      <c r="H60">
        <v>3.2</v>
      </c>
      <c r="I60">
        <v>3.1</v>
      </c>
      <c r="J60">
        <v>3</v>
      </c>
      <c r="K60">
        <v>3</v>
      </c>
      <c r="L60">
        <v>2.7</v>
      </c>
      <c r="M60">
        <v>2.8</v>
      </c>
      <c r="N60">
        <v>2.7</v>
      </c>
      <c r="O60">
        <v>2.6</v>
      </c>
      <c r="P60">
        <v>2.7</v>
      </c>
      <c r="Q60">
        <v>2.6</v>
      </c>
      <c r="R60">
        <v>2.4</v>
      </c>
      <c r="S60">
        <v>2.4</v>
      </c>
      <c r="U60">
        <f t="shared" si="0"/>
        <v>2.8562500000000002</v>
      </c>
    </row>
    <row r="61" spans="1:21" x14ac:dyDescent="0.45">
      <c r="A61" t="s">
        <v>302</v>
      </c>
      <c r="B61" t="s">
        <v>114</v>
      </c>
      <c r="C61">
        <v>59</v>
      </c>
      <c r="D61">
        <v>3.3</v>
      </c>
      <c r="E61">
        <v>2.9</v>
      </c>
      <c r="F61">
        <v>3.3</v>
      </c>
      <c r="G61">
        <v>3</v>
      </c>
      <c r="H61">
        <v>3.2</v>
      </c>
      <c r="I61">
        <v>3.1</v>
      </c>
      <c r="J61">
        <v>3</v>
      </c>
      <c r="K61">
        <v>3</v>
      </c>
      <c r="L61">
        <v>2.7</v>
      </c>
      <c r="M61">
        <v>2.8</v>
      </c>
      <c r="N61">
        <v>2.7</v>
      </c>
      <c r="O61">
        <v>2.6</v>
      </c>
      <c r="P61">
        <v>2.7</v>
      </c>
      <c r="Q61">
        <v>2.6</v>
      </c>
      <c r="R61">
        <v>2.4</v>
      </c>
      <c r="S61">
        <v>2.4</v>
      </c>
      <c r="U61">
        <f t="shared" si="0"/>
        <v>2.8562500000000002</v>
      </c>
    </row>
    <row r="62" spans="1:21" x14ac:dyDescent="0.45">
      <c r="A62" t="s">
        <v>302</v>
      </c>
      <c r="B62" t="s">
        <v>114</v>
      </c>
      <c r="C62">
        <v>60</v>
      </c>
      <c r="D62">
        <v>5.3</v>
      </c>
      <c r="E62">
        <v>5.2</v>
      </c>
      <c r="F62">
        <v>5.0999999999999996</v>
      </c>
      <c r="G62">
        <v>5.0999999999999996</v>
      </c>
      <c r="H62">
        <v>4.4000000000000004</v>
      </c>
      <c r="I62">
        <v>4.5</v>
      </c>
      <c r="J62">
        <v>4.3</v>
      </c>
      <c r="K62">
        <v>4.5</v>
      </c>
      <c r="L62">
        <v>4.4000000000000004</v>
      </c>
      <c r="M62">
        <v>4.2</v>
      </c>
      <c r="N62">
        <v>3.8</v>
      </c>
      <c r="O62">
        <v>4.3</v>
      </c>
      <c r="P62">
        <v>4.5</v>
      </c>
      <c r="Q62">
        <v>3.9</v>
      </c>
      <c r="R62">
        <v>3.9</v>
      </c>
      <c r="S62">
        <v>3.6</v>
      </c>
      <c r="U62">
        <f t="shared" si="0"/>
        <v>4.4374999999999991</v>
      </c>
    </row>
    <row r="63" spans="1:21" x14ac:dyDescent="0.45">
      <c r="A63" t="s">
        <v>302</v>
      </c>
      <c r="B63" t="s">
        <v>114</v>
      </c>
      <c r="C63">
        <v>61</v>
      </c>
      <c r="D63">
        <v>5.3</v>
      </c>
      <c r="E63">
        <v>5.2</v>
      </c>
      <c r="F63">
        <v>5.0999999999999996</v>
      </c>
      <c r="G63">
        <v>5.0999999999999996</v>
      </c>
      <c r="H63">
        <v>4.4000000000000004</v>
      </c>
      <c r="I63">
        <v>4.5</v>
      </c>
      <c r="J63">
        <v>4.3</v>
      </c>
      <c r="K63">
        <v>4.5</v>
      </c>
      <c r="L63">
        <v>4.4000000000000004</v>
      </c>
      <c r="M63">
        <v>4.2</v>
      </c>
      <c r="N63">
        <v>3.8</v>
      </c>
      <c r="O63">
        <v>4.3</v>
      </c>
      <c r="P63">
        <v>4.5</v>
      </c>
      <c r="Q63">
        <v>3.9</v>
      </c>
      <c r="R63">
        <v>3.9</v>
      </c>
      <c r="S63">
        <v>3.6</v>
      </c>
      <c r="U63">
        <f t="shared" si="0"/>
        <v>4.4374999999999991</v>
      </c>
    </row>
    <row r="64" spans="1:21" x14ac:dyDescent="0.45">
      <c r="A64" t="s">
        <v>302</v>
      </c>
      <c r="B64" t="s">
        <v>114</v>
      </c>
      <c r="C64">
        <v>62</v>
      </c>
      <c r="D64">
        <v>5.3</v>
      </c>
      <c r="E64">
        <v>5.2</v>
      </c>
      <c r="F64">
        <v>5.0999999999999996</v>
      </c>
      <c r="G64">
        <v>5.0999999999999996</v>
      </c>
      <c r="H64">
        <v>4.4000000000000004</v>
      </c>
      <c r="I64">
        <v>4.5</v>
      </c>
      <c r="J64">
        <v>4.3</v>
      </c>
      <c r="K64">
        <v>4.5</v>
      </c>
      <c r="L64">
        <v>4.4000000000000004</v>
      </c>
      <c r="M64">
        <v>4.2</v>
      </c>
      <c r="N64">
        <v>3.8</v>
      </c>
      <c r="O64">
        <v>4.3</v>
      </c>
      <c r="P64">
        <v>4.5</v>
      </c>
      <c r="Q64">
        <v>3.9</v>
      </c>
      <c r="R64">
        <v>3.9</v>
      </c>
      <c r="S64">
        <v>3.6</v>
      </c>
      <c r="U64">
        <f t="shared" si="0"/>
        <v>4.4374999999999991</v>
      </c>
    </row>
    <row r="65" spans="1:21" x14ac:dyDescent="0.45">
      <c r="A65" t="s">
        <v>302</v>
      </c>
      <c r="B65" t="s">
        <v>114</v>
      </c>
      <c r="C65">
        <v>63</v>
      </c>
      <c r="D65">
        <v>5.3</v>
      </c>
      <c r="E65">
        <v>5.2</v>
      </c>
      <c r="F65">
        <v>5.0999999999999996</v>
      </c>
      <c r="G65">
        <v>5.0999999999999996</v>
      </c>
      <c r="H65">
        <v>4.4000000000000004</v>
      </c>
      <c r="I65">
        <v>4.5</v>
      </c>
      <c r="J65">
        <v>4.3</v>
      </c>
      <c r="K65">
        <v>4.5</v>
      </c>
      <c r="L65">
        <v>4.4000000000000004</v>
      </c>
      <c r="M65">
        <v>4.2</v>
      </c>
      <c r="N65">
        <v>3.8</v>
      </c>
      <c r="O65">
        <v>4.3</v>
      </c>
      <c r="P65">
        <v>4.5</v>
      </c>
      <c r="Q65">
        <v>3.9</v>
      </c>
      <c r="R65">
        <v>3.9</v>
      </c>
      <c r="S65">
        <v>3.6</v>
      </c>
      <c r="U65">
        <f t="shared" si="0"/>
        <v>4.4374999999999991</v>
      </c>
    </row>
    <row r="66" spans="1:21" x14ac:dyDescent="0.45">
      <c r="A66" t="s">
        <v>302</v>
      </c>
      <c r="B66" t="s">
        <v>114</v>
      </c>
      <c r="C66">
        <v>64</v>
      </c>
      <c r="D66">
        <v>5.3</v>
      </c>
      <c r="E66">
        <v>5.2</v>
      </c>
      <c r="F66">
        <v>5.0999999999999996</v>
      </c>
      <c r="G66">
        <v>5.0999999999999996</v>
      </c>
      <c r="H66">
        <v>4.4000000000000004</v>
      </c>
      <c r="I66">
        <v>4.5</v>
      </c>
      <c r="J66">
        <v>4.3</v>
      </c>
      <c r="K66">
        <v>4.5</v>
      </c>
      <c r="L66">
        <v>4.4000000000000004</v>
      </c>
      <c r="M66">
        <v>4.2</v>
      </c>
      <c r="N66">
        <v>3.8</v>
      </c>
      <c r="O66">
        <v>4.3</v>
      </c>
      <c r="P66">
        <v>4.5</v>
      </c>
      <c r="Q66">
        <v>3.9</v>
      </c>
      <c r="R66">
        <v>3.9</v>
      </c>
      <c r="S66">
        <v>3.6</v>
      </c>
      <c r="U66">
        <f t="shared" si="0"/>
        <v>4.4374999999999991</v>
      </c>
    </row>
    <row r="67" spans="1:21" x14ac:dyDescent="0.45">
      <c r="A67" t="s">
        <v>302</v>
      </c>
      <c r="B67" t="s">
        <v>114</v>
      </c>
      <c r="C67">
        <v>65</v>
      </c>
      <c r="D67">
        <v>8.8000000000000007</v>
      </c>
      <c r="E67">
        <v>9</v>
      </c>
      <c r="F67">
        <v>8.6999999999999993</v>
      </c>
      <c r="G67">
        <v>7.8</v>
      </c>
      <c r="H67">
        <v>7.5</v>
      </c>
      <c r="I67">
        <v>7.1</v>
      </c>
      <c r="J67">
        <v>7</v>
      </c>
      <c r="K67">
        <v>7</v>
      </c>
      <c r="L67">
        <v>6.6</v>
      </c>
      <c r="M67">
        <v>6.3</v>
      </c>
      <c r="N67">
        <v>6.5</v>
      </c>
      <c r="O67">
        <v>6.8</v>
      </c>
      <c r="P67">
        <v>7</v>
      </c>
      <c r="Q67">
        <v>6.3</v>
      </c>
      <c r="R67">
        <v>6.6</v>
      </c>
      <c r="S67">
        <v>6.2</v>
      </c>
      <c r="U67">
        <f t="shared" ref="U67:U130" si="1">AVERAGE(D67:S67)</f>
        <v>7.1999999999999993</v>
      </c>
    </row>
    <row r="68" spans="1:21" x14ac:dyDescent="0.45">
      <c r="A68" t="s">
        <v>302</v>
      </c>
      <c r="B68" t="s">
        <v>114</v>
      </c>
      <c r="C68">
        <v>66</v>
      </c>
      <c r="D68">
        <v>8.8000000000000007</v>
      </c>
      <c r="E68">
        <v>9</v>
      </c>
      <c r="F68">
        <v>8.6999999999999993</v>
      </c>
      <c r="G68">
        <v>7.8</v>
      </c>
      <c r="H68">
        <v>7.5</v>
      </c>
      <c r="I68">
        <v>7.1</v>
      </c>
      <c r="J68">
        <v>7</v>
      </c>
      <c r="K68">
        <v>7</v>
      </c>
      <c r="L68">
        <v>6.6</v>
      </c>
      <c r="M68">
        <v>6.3</v>
      </c>
      <c r="N68">
        <v>6.5</v>
      </c>
      <c r="O68">
        <v>6.8</v>
      </c>
      <c r="P68">
        <v>7</v>
      </c>
      <c r="Q68">
        <v>6.3</v>
      </c>
      <c r="R68">
        <v>6.6</v>
      </c>
      <c r="S68">
        <v>6.2</v>
      </c>
      <c r="U68">
        <f t="shared" si="1"/>
        <v>7.1999999999999993</v>
      </c>
    </row>
    <row r="69" spans="1:21" x14ac:dyDescent="0.45">
      <c r="A69" t="s">
        <v>302</v>
      </c>
      <c r="B69" t="s">
        <v>114</v>
      </c>
      <c r="C69">
        <v>67</v>
      </c>
      <c r="D69">
        <v>8.8000000000000007</v>
      </c>
      <c r="E69">
        <v>9</v>
      </c>
      <c r="F69">
        <v>8.6999999999999993</v>
      </c>
      <c r="G69">
        <v>7.8</v>
      </c>
      <c r="H69">
        <v>7.5</v>
      </c>
      <c r="I69">
        <v>7.1</v>
      </c>
      <c r="J69">
        <v>7</v>
      </c>
      <c r="K69">
        <v>7</v>
      </c>
      <c r="L69">
        <v>6.6</v>
      </c>
      <c r="M69">
        <v>6.3</v>
      </c>
      <c r="N69">
        <v>6.5</v>
      </c>
      <c r="O69">
        <v>6.8</v>
      </c>
      <c r="P69">
        <v>7</v>
      </c>
      <c r="Q69">
        <v>6.3</v>
      </c>
      <c r="R69">
        <v>6.6</v>
      </c>
      <c r="S69">
        <v>6.2</v>
      </c>
      <c r="U69">
        <f t="shared" si="1"/>
        <v>7.1999999999999993</v>
      </c>
    </row>
    <row r="70" spans="1:21" x14ac:dyDescent="0.45">
      <c r="A70" t="s">
        <v>302</v>
      </c>
      <c r="B70" t="s">
        <v>114</v>
      </c>
      <c r="C70">
        <v>68</v>
      </c>
      <c r="D70">
        <v>8.8000000000000007</v>
      </c>
      <c r="E70">
        <v>9</v>
      </c>
      <c r="F70">
        <v>8.6999999999999993</v>
      </c>
      <c r="G70">
        <v>7.8</v>
      </c>
      <c r="H70">
        <v>7.5</v>
      </c>
      <c r="I70">
        <v>7.1</v>
      </c>
      <c r="J70">
        <v>7</v>
      </c>
      <c r="K70">
        <v>7</v>
      </c>
      <c r="L70">
        <v>6.6</v>
      </c>
      <c r="M70">
        <v>6.3</v>
      </c>
      <c r="N70">
        <v>6.5</v>
      </c>
      <c r="O70">
        <v>6.8</v>
      </c>
      <c r="P70">
        <v>7</v>
      </c>
      <c r="Q70">
        <v>6.3</v>
      </c>
      <c r="R70">
        <v>6.6</v>
      </c>
      <c r="S70">
        <v>6.2</v>
      </c>
      <c r="U70">
        <f t="shared" si="1"/>
        <v>7.1999999999999993</v>
      </c>
    </row>
    <row r="71" spans="1:21" x14ac:dyDescent="0.45">
      <c r="A71" t="s">
        <v>302</v>
      </c>
      <c r="B71" t="s">
        <v>114</v>
      </c>
      <c r="C71">
        <v>69</v>
      </c>
      <c r="D71">
        <v>8.8000000000000007</v>
      </c>
      <c r="E71">
        <v>9</v>
      </c>
      <c r="F71">
        <v>8.6999999999999993</v>
      </c>
      <c r="G71">
        <v>7.8</v>
      </c>
      <c r="H71">
        <v>7.5</v>
      </c>
      <c r="I71">
        <v>7.1</v>
      </c>
      <c r="J71">
        <v>7</v>
      </c>
      <c r="K71">
        <v>7</v>
      </c>
      <c r="L71">
        <v>6.6</v>
      </c>
      <c r="M71">
        <v>6.3</v>
      </c>
      <c r="N71">
        <v>6.5</v>
      </c>
      <c r="O71">
        <v>6.8</v>
      </c>
      <c r="P71">
        <v>7</v>
      </c>
      <c r="Q71">
        <v>6.3</v>
      </c>
      <c r="R71">
        <v>6.6</v>
      </c>
      <c r="S71">
        <v>6.2</v>
      </c>
      <c r="U71">
        <f t="shared" si="1"/>
        <v>7.1999999999999993</v>
      </c>
    </row>
    <row r="72" spans="1:21" x14ac:dyDescent="0.45">
      <c r="A72" t="s">
        <v>302</v>
      </c>
      <c r="B72" t="s">
        <v>114</v>
      </c>
      <c r="C72">
        <v>70</v>
      </c>
      <c r="D72">
        <v>15.1</v>
      </c>
      <c r="E72">
        <v>14.7</v>
      </c>
      <c r="F72">
        <v>14.5</v>
      </c>
      <c r="G72">
        <v>14.2</v>
      </c>
      <c r="H72">
        <v>13.5</v>
      </c>
      <c r="I72">
        <v>13.2</v>
      </c>
      <c r="J72">
        <v>11.5</v>
      </c>
      <c r="K72">
        <v>11.6</v>
      </c>
      <c r="L72">
        <v>11.3</v>
      </c>
      <c r="M72">
        <v>10.9</v>
      </c>
      <c r="N72">
        <v>10.1</v>
      </c>
      <c r="O72">
        <v>10.8</v>
      </c>
      <c r="P72">
        <v>11.3</v>
      </c>
      <c r="Q72">
        <v>10.9</v>
      </c>
      <c r="R72">
        <v>10.9</v>
      </c>
      <c r="S72">
        <v>9.9</v>
      </c>
      <c r="U72">
        <f t="shared" si="1"/>
        <v>12.150000000000002</v>
      </c>
    </row>
    <row r="73" spans="1:21" x14ac:dyDescent="0.45">
      <c r="A73" t="s">
        <v>302</v>
      </c>
      <c r="B73" t="s">
        <v>114</v>
      </c>
      <c r="C73">
        <v>71</v>
      </c>
      <c r="D73">
        <v>15.1</v>
      </c>
      <c r="E73">
        <v>14.7</v>
      </c>
      <c r="F73">
        <v>14.5</v>
      </c>
      <c r="G73">
        <v>14.2</v>
      </c>
      <c r="H73">
        <v>13.5</v>
      </c>
      <c r="I73">
        <v>13.2</v>
      </c>
      <c r="J73">
        <v>11.5</v>
      </c>
      <c r="K73">
        <v>11.6</v>
      </c>
      <c r="L73">
        <v>11.3</v>
      </c>
      <c r="M73">
        <v>10.9</v>
      </c>
      <c r="N73">
        <v>10.1</v>
      </c>
      <c r="O73">
        <v>10.8</v>
      </c>
      <c r="P73">
        <v>11.3</v>
      </c>
      <c r="Q73">
        <v>10.9</v>
      </c>
      <c r="R73">
        <v>10.9</v>
      </c>
      <c r="S73">
        <v>9.9</v>
      </c>
      <c r="U73">
        <f t="shared" si="1"/>
        <v>12.150000000000002</v>
      </c>
    </row>
    <row r="74" spans="1:21" x14ac:dyDescent="0.45">
      <c r="A74" t="s">
        <v>302</v>
      </c>
      <c r="B74" t="s">
        <v>114</v>
      </c>
      <c r="C74">
        <v>72</v>
      </c>
      <c r="D74">
        <v>15.1</v>
      </c>
      <c r="E74">
        <v>14.7</v>
      </c>
      <c r="F74">
        <v>14.5</v>
      </c>
      <c r="G74">
        <v>14.2</v>
      </c>
      <c r="H74">
        <v>13.5</v>
      </c>
      <c r="I74">
        <v>13.2</v>
      </c>
      <c r="J74">
        <v>11.5</v>
      </c>
      <c r="K74">
        <v>11.6</v>
      </c>
      <c r="L74">
        <v>11.3</v>
      </c>
      <c r="M74">
        <v>10.9</v>
      </c>
      <c r="N74">
        <v>10.1</v>
      </c>
      <c r="O74">
        <v>10.8</v>
      </c>
      <c r="P74">
        <v>11.3</v>
      </c>
      <c r="Q74">
        <v>10.9</v>
      </c>
      <c r="R74">
        <v>10.9</v>
      </c>
      <c r="S74">
        <v>9.9</v>
      </c>
      <c r="U74">
        <f t="shared" si="1"/>
        <v>12.150000000000002</v>
      </c>
    </row>
    <row r="75" spans="1:21" x14ac:dyDescent="0.45">
      <c r="A75" t="s">
        <v>302</v>
      </c>
      <c r="B75" t="s">
        <v>114</v>
      </c>
      <c r="C75">
        <v>73</v>
      </c>
      <c r="D75">
        <v>15.1</v>
      </c>
      <c r="E75">
        <v>14.7</v>
      </c>
      <c r="F75">
        <v>14.5</v>
      </c>
      <c r="G75">
        <v>14.2</v>
      </c>
      <c r="H75">
        <v>13.5</v>
      </c>
      <c r="I75">
        <v>13.2</v>
      </c>
      <c r="J75">
        <v>11.5</v>
      </c>
      <c r="K75">
        <v>11.6</v>
      </c>
      <c r="L75">
        <v>11.3</v>
      </c>
      <c r="M75">
        <v>10.9</v>
      </c>
      <c r="N75">
        <v>10.1</v>
      </c>
      <c r="O75">
        <v>10.8</v>
      </c>
      <c r="P75">
        <v>11.3</v>
      </c>
      <c r="Q75">
        <v>10.9</v>
      </c>
      <c r="R75">
        <v>10.9</v>
      </c>
      <c r="S75">
        <v>9.9</v>
      </c>
      <c r="U75">
        <f t="shared" si="1"/>
        <v>12.150000000000002</v>
      </c>
    </row>
    <row r="76" spans="1:21" x14ac:dyDescent="0.45">
      <c r="A76" t="s">
        <v>302</v>
      </c>
      <c r="B76" t="s">
        <v>114</v>
      </c>
      <c r="C76">
        <v>74</v>
      </c>
      <c r="D76">
        <v>15.1</v>
      </c>
      <c r="E76">
        <v>14.7</v>
      </c>
      <c r="F76">
        <v>14.5</v>
      </c>
      <c r="G76">
        <v>14.2</v>
      </c>
      <c r="H76">
        <v>13.5</v>
      </c>
      <c r="I76">
        <v>13.2</v>
      </c>
      <c r="J76">
        <v>11.5</v>
      </c>
      <c r="K76">
        <v>11.6</v>
      </c>
      <c r="L76">
        <v>11.3</v>
      </c>
      <c r="M76">
        <v>10.9</v>
      </c>
      <c r="N76">
        <v>10.1</v>
      </c>
      <c r="O76">
        <v>10.8</v>
      </c>
      <c r="P76">
        <v>11.3</v>
      </c>
      <c r="Q76">
        <v>10.9</v>
      </c>
      <c r="R76">
        <v>10.9</v>
      </c>
      <c r="S76">
        <v>9.9</v>
      </c>
      <c r="U76">
        <f t="shared" si="1"/>
        <v>12.150000000000002</v>
      </c>
    </row>
    <row r="77" spans="1:21" x14ac:dyDescent="0.45">
      <c r="A77" t="s">
        <v>302</v>
      </c>
      <c r="B77" t="s">
        <v>114</v>
      </c>
      <c r="C77">
        <v>75</v>
      </c>
      <c r="D77">
        <v>27.1</v>
      </c>
      <c r="E77">
        <v>29</v>
      </c>
      <c r="F77">
        <v>26.3</v>
      </c>
      <c r="G77">
        <v>26.3</v>
      </c>
      <c r="H77">
        <v>25.9</v>
      </c>
      <c r="I77">
        <v>24.4</v>
      </c>
      <c r="J77">
        <v>23.5</v>
      </c>
      <c r="K77">
        <v>22.2</v>
      </c>
      <c r="L77">
        <v>22.3</v>
      </c>
      <c r="M77">
        <v>20.7</v>
      </c>
      <c r="N77">
        <v>18.600000000000001</v>
      </c>
      <c r="O77">
        <v>21.9</v>
      </c>
      <c r="P77">
        <v>22.1</v>
      </c>
      <c r="Q77">
        <v>19.5</v>
      </c>
      <c r="R77">
        <v>18.8</v>
      </c>
      <c r="S77">
        <v>17.899999999999999</v>
      </c>
      <c r="U77">
        <f t="shared" si="1"/>
        <v>22.90625</v>
      </c>
    </row>
    <row r="78" spans="1:21" x14ac:dyDescent="0.45">
      <c r="A78" t="s">
        <v>302</v>
      </c>
      <c r="B78" t="s">
        <v>114</v>
      </c>
      <c r="C78">
        <v>76</v>
      </c>
      <c r="D78">
        <v>27.1</v>
      </c>
      <c r="E78">
        <v>29</v>
      </c>
      <c r="F78">
        <v>26.3</v>
      </c>
      <c r="G78">
        <v>26.3</v>
      </c>
      <c r="H78">
        <v>25.9</v>
      </c>
      <c r="I78">
        <v>24.4</v>
      </c>
      <c r="J78">
        <v>23.5</v>
      </c>
      <c r="K78">
        <v>22.2</v>
      </c>
      <c r="L78">
        <v>22.3</v>
      </c>
      <c r="M78">
        <v>20.7</v>
      </c>
      <c r="N78">
        <v>18.600000000000001</v>
      </c>
      <c r="O78">
        <v>21.9</v>
      </c>
      <c r="P78">
        <v>22.1</v>
      </c>
      <c r="Q78">
        <v>19.5</v>
      </c>
      <c r="R78">
        <v>18.8</v>
      </c>
      <c r="S78">
        <v>17.899999999999999</v>
      </c>
      <c r="U78">
        <f t="shared" si="1"/>
        <v>22.90625</v>
      </c>
    </row>
    <row r="79" spans="1:21" x14ac:dyDescent="0.45">
      <c r="A79" t="s">
        <v>302</v>
      </c>
      <c r="B79" t="s">
        <v>114</v>
      </c>
      <c r="C79">
        <v>77</v>
      </c>
      <c r="D79">
        <v>27.1</v>
      </c>
      <c r="E79">
        <v>29</v>
      </c>
      <c r="F79">
        <v>26.3</v>
      </c>
      <c r="G79">
        <v>26.3</v>
      </c>
      <c r="H79">
        <v>25.9</v>
      </c>
      <c r="I79">
        <v>24.4</v>
      </c>
      <c r="J79">
        <v>23.5</v>
      </c>
      <c r="K79">
        <v>22.2</v>
      </c>
      <c r="L79">
        <v>22.3</v>
      </c>
      <c r="M79">
        <v>20.7</v>
      </c>
      <c r="N79">
        <v>18.600000000000001</v>
      </c>
      <c r="O79">
        <v>21.9</v>
      </c>
      <c r="P79">
        <v>22.1</v>
      </c>
      <c r="Q79">
        <v>19.5</v>
      </c>
      <c r="R79">
        <v>18.8</v>
      </c>
      <c r="S79">
        <v>17.899999999999999</v>
      </c>
      <c r="U79">
        <f t="shared" si="1"/>
        <v>22.90625</v>
      </c>
    </row>
    <row r="80" spans="1:21" x14ac:dyDescent="0.45">
      <c r="A80" t="s">
        <v>302</v>
      </c>
      <c r="B80" t="s">
        <v>114</v>
      </c>
      <c r="C80">
        <v>78</v>
      </c>
      <c r="D80">
        <v>27.1</v>
      </c>
      <c r="E80">
        <v>29</v>
      </c>
      <c r="F80">
        <v>26.3</v>
      </c>
      <c r="G80">
        <v>26.3</v>
      </c>
      <c r="H80">
        <v>25.9</v>
      </c>
      <c r="I80">
        <v>24.4</v>
      </c>
      <c r="J80">
        <v>23.5</v>
      </c>
      <c r="K80">
        <v>22.2</v>
      </c>
      <c r="L80">
        <v>22.3</v>
      </c>
      <c r="M80">
        <v>20.7</v>
      </c>
      <c r="N80">
        <v>18.600000000000001</v>
      </c>
      <c r="O80">
        <v>21.9</v>
      </c>
      <c r="P80">
        <v>22.1</v>
      </c>
      <c r="Q80">
        <v>19.5</v>
      </c>
      <c r="R80">
        <v>18.8</v>
      </c>
      <c r="S80">
        <v>17.899999999999999</v>
      </c>
      <c r="U80">
        <f t="shared" si="1"/>
        <v>22.90625</v>
      </c>
    </row>
    <row r="81" spans="1:21" x14ac:dyDescent="0.45">
      <c r="A81" t="s">
        <v>302</v>
      </c>
      <c r="B81" t="s">
        <v>114</v>
      </c>
      <c r="C81">
        <v>79</v>
      </c>
      <c r="D81">
        <v>27.1</v>
      </c>
      <c r="E81">
        <v>29</v>
      </c>
      <c r="F81">
        <v>26.3</v>
      </c>
      <c r="G81">
        <v>26.3</v>
      </c>
      <c r="H81">
        <v>25.9</v>
      </c>
      <c r="I81">
        <v>24.4</v>
      </c>
      <c r="J81">
        <v>23.5</v>
      </c>
      <c r="K81">
        <v>22.2</v>
      </c>
      <c r="L81">
        <v>22.3</v>
      </c>
      <c r="M81">
        <v>20.7</v>
      </c>
      <c r="N81">
        <v>18.600000000000001</v>
      </c>
      <c r="O81">
        <v>21.9</v>
      </c>
      <c r="P81">
        <v>22.1</v>
      </c>
      <c r="Q81">
        <v>19.5</v>
      </c>
      <c r="R81">
        <v>18.8</v>
      </c>
      <c r="S81">
        <v>17.899999999999999</v>
      </c>
      <c r="U81">
        <f t="shared" si="1"/>
        <v>22.90625</v>
      </c>
    </row>
    <row r="82" spans="1:21" x14ac:dyDescent="0.45">
      <c r="A82" t="s">
        <v>302</v>
      </c>
      <c r="B82" t="s">
        <v>114</v>
      </c>
      <c r="C82">
        <v>80</v>
      </c>
      <c r="D82">
        <v>50.2</v>
      </c>
      <c r="E82">
        <v>48.4</v>
      </c>
      <c r="F82">
        <v>46.4</v>
      </c>
      <c r="G82">
        <v>47.2</v>
      </c>
      <c r="H82">
        <v>46.6</v>
      </c>
      <c r="I82">
        <v>43.4</v>
      </c>
      <c r="J82">
        <v>43.7</v>
      </c>
      <c r="K82">
        <v>45.4</v>
      </c>
      <c r="L82">
        <v>43.2</v>
      </c>
      <c r="M82">
        <v>38.9</v>
      </c>
      <c r="N82">
        <v>38.4</v>
      </c>
      <c r="O82">
        <v>39.700000000000003</v>
      </c>
      <c r="P82">
        <v>43.6</v>
      </c>
      <c r="Q82">
        <v>41</v>
      </c>
      <c r="R82">
        <v>38.9</v>
      </c>
      <c r="S82">
        <v>36.299999999999997</v>
      </c>
      <c r="U82">
        <f t="shared" si="1"/>
        <v>43.20624999999999</v>
      </c>
    </row>
    <row r="83" spans="1:21" x14ac:dyDescent="0.45">
      <c r="A83" t="s">
        <v>302</v>
      </c>
      <c r="B83" t="s">
        <v>114</v>
      </c>
      <c r="C83">
        <v>81</v>
      </c>
      <c r="D83">
        <v>50.2</v>
      </c>
      <c r="E83">
        <v>48.4</v>
      </c>
      <c r="F83">
        <v>46.4</v>
      </c>
      <c r="G83">
        <v>47.2</v>
      </c>
      <c r="H83">
        <v>46.6</v>
      </c>
      <c r="I83">
        <v>43.4</v>
      </c>
      <c r="J83">
        <v>43.7</v>
      </c>
      <c r="K83">
        <v>45.4</v>
      </c>
      <c r="L83">
        <v>43.2</v>
      </c>
      <c r="M83">
        <v>38.9</v>
      </c>
      <c r="N83">
        <v>38.4</v>
      </c>
      <c r="O83">
        <v>39.700000000000003</v>
      </c>
      <c r="P83">
        <v>43.6</v>
      </c>
      <c r="Q83">
        <v>41</v>
      </c>
      <c r="R83">
        <v>38.9</v>
      </c>
      <c r="S83">
        <v>36.299999999999997</v>
      </c>
      <c r="U83">
        <f t="shared" si="1"/>
        <v>43.20624999999999</v>
      </c>
    </row>
    <row r="84" spans="1:21" x14ac:dyDescent="0.45">
      <c r="A84" t="s">
        <v>302</v>
      </c>
      <c r="B84" t="s">
        <v>114</v>
      </c>
      <c r="C84">
        <v>82</v>
      </c>
      <c r="D84">
        <v>50.2</v>
      </c>
      <c r="E84">
        <v>48.4</v>
      </c>
      <c r="F84">
        <v>46.4</v>
      </c>
      <c r="G84">
        <v>47.2</v>
      </c>
      <c r="H84">
        <v>46.6</v>
      </c>
      <c r="I84">
        <v>43.4</v>
      </c>
      <c r="J84">
        <v>43.7</v>
      </c>
      <c r="K84">
        <v>45.4</v>
      </c>
      <c r="L84">
        <v>43.2</v>
      </c>
      <c r="M84">
        <v>38.9</v>
      </c>
      <c r="N84">
        <v>38.4</v>
      </c>
      <c r="O84">
        <v>39.700000000000003</v>
      </c>
      <c r="P84">
        <v>43.6</v>
      </c>
      <c r="Q84">
        <v>41</v>
      </c>
      <c r="R84">
        <v>38.9</v>
      </c>
      <c r="S84">
        <v>36.299999999999997</v>
      </c>
      <c r="U84">
        <f t="shared" si="1"/>
        <v>43.20624999999999</v>
      </c>
    </row>
    <row r="85" spans="1:21" x14ac:dyDescent="0.45">
      <c r="A85" t="s">
        <v>302</v>
      </c>
      <c r="B85" t="s">
        <v>114</v>
      </c>
      <c r="C85">
        <v>83</v>
      </c>
      <c r="D85">
        <v>50.2</v>
      </c>
      <c r="E85">
        <v>48.4</v>
      </c>
      <c r="F85">
        <v>46.4</v>
      </c>
      <c r="G85">
        <v>47.2</v>
      </c>
      <c r="H85">
        <v>46.6</v>
      </c>
      <c r="I85">
        <v>43.4</v>
      </c>
      <c r="J85">
        <v>43.7</v>
      </c>
      <c r="K85">
        <v>45.4</v>
      </c>
      <c r="L85">
        <v>43.2</v>
      </c>
      <c r="M85">
        <v>38.9</v>
      </c>
      <c r="N85">
        <v>38.4</v>
      </c>
      <c r="O85">
        <v>39.700000000000003</v>
      </c>
      <c r="P85">
        <v>43.6</v>
      </c>
      <c r="Q85">
        <v>41</v>
      </c>
      <c r="R85">
        <v>38.9</v>
      </c>
      <c r="S85">
        <v>36.299999999999997</v>
      </c>
      <c r="U85">
        <f t="shared" si="1"/>
        <v>43.20624999999999</v>
      </c>
    </row>
    <row r="86" spans="1:21" x14ac:dyDescent="0.45">
      <c r="A86" t="s">
        <v>302</v>
      </c>
      <c r="B86" t="s">
        <v>114</v>
      </c>
      <c r="C86">
        <v>84</v>
      </c>
      <c r="D86">
        <v>50.2</v>
      </c>
      <c r="E86">
        <v>48.4</v>
      </c>
      <c r="F86">
        <v>46.4</v>
      </c>
      <c r="G86">
        <v>47.2</v>
      </c>
      <c r="H86">
        <v>46.6</v>
      </c>
      <c r="I86">
        <v>43.4</v>
      </c>
      <c r="J86">
        <v>43.7</v>
      </c>
      <c r="K86">
        <v>45.4</v>
      </c>
      <c r="L86">
        <v>43.2</v>
      </c>
      <c r="M86">
        <v>38.9</v>
      </c>
      <c r="N86">
        <v>38.4</v>
      </c>
      <c r="O86">
        <v>39.700000000000003</v>
      </c>
      <c r="P86">
        <v>43.6</v>
      </c>
      <c r="Q86">
        <v>41</v>
      </c>
      <c r="R86">
        <v>38.9</v>
      </c>
      <c r="S86">
        <v>36.299999999999997</v>
      </c>
      <c r="U86">
        <f t="shared" si="1"/>
        <v>43.20624999999999</v>
      </c>
    </row>
    <row r="87" spans="1:21" x14ac:dyDescent="0.45">
      <c r="A87" t="s">
        <v>302</v>
      </c>
      <c r="B87" t="s">
        <v>114</v>
      </c>
      <c r="C87">
        <v>85</v>
      </c>
      <c r="D87">
        <v>84.3</v>
      </c>
      <c r="E87">
        <v>80.3</v>
      </c>
      <c r="F87">
        <v>81.7</v>
      </c>
      <c r="G87">
        <v>82.2</v>
      </c>
      <c r="H87">
        <v>78.599999999999994</v>
      </c>
      <c r="I87">
        <v>80.3</v>
      </c>
      <c r="J87">
        <v>74.7</v>
      </c>
      <c r="K87">
        <v>79.599999999999994</v>
      </c>
      <c r="L87">
        <v>74.099999999999994</v>
      </c>
      <c r="M87">
        <v>73.900000000000006</v>
      </c>
      <c r="N87">
        <v>69.3</v>
      </c>
      <c r="O87">
        <v>78.8</v>
      </c>
      <c r="P87">
        <v>87.1</v>
      </c>
      <c r="Q87">
        <v>85</v>
      </c>
      <c r="R87">
        <v>74.3</v>
      </c>
      <c r="S87">
        <v>72.599999999999994</v>
      </c>
      <c r="U87">
        <f t="shared" si="1"/>
        <v>78.549999999999983</v>
      </c>
    </row>
    <row r="88" spans="1:21" x14ac:dyDescent="0.45">
      <c r="A88" t="s">
        <v>302</v>
      </c>
      <c r="B88" t="s">
        <v>114</v>
      </c>
      <c r="C88">
        <v>86</v>
      </c>
      <c r="D88">
        <v>84.3</v>
      </c>
      <c r="E88">
        <v>80.3</v>
      </c>
      <c r="F88">
        <v>81.7</v>
      </c>
      <c r="G88">
        <v>82.2</v>
      </c>
      <c r="H88">
        <v>78.599999999999994</v>
      </c>
      <c r="I88">
        <v>80.3</v>
      </c>
      <c r="J88">
        <v>74.7</v>
      </c>
      <c r="K88">
        <v>79.599999999999994</v>
      </c>
      <c r="L88">
        <v>74.099999999999994</v>
      </c>
      <c r="M88">
        <v>73.900000000000006</v>
      </c>
      <c r="N88">
        <v>69.3</v>
      </c>
      <c r="O88">
        <v>78.8</v>
      </c>
      <c r="P88">
        <v>87.1</v>
      </c>
      <c r="Q88">
        <v>85</v>
      </c>
      <c r="R88">
        <v>74.3</v>
      </c>
      <c r="S88">
        <v>72.599999999999994</v>
      </c>
      <c r="U88">
        <f t="shared" si="1"/>
        <v>78.549999999999983</v>
      </c>
    </row>
    <row r="89" spans="1:21" x14ac:dyDescent="0.45">
      <c r="A89" t="s">
        <v>302</v>
      </c>
      <c r="B89" t="s">
        <v>114</v>
      </c>
      <c r="C89">
        <v>87</v>
      </c>
      <c r="D89">
        <v>84.3</v>
      </c>
      <c r="E89">
        <v>80.3</v>
      </c>
      <c r="F89">
        <v>81.7</v>
      </c>
      <c r="G89">
        <v>82.2</v>
      </c>
      <c r="H89">
        <v>78.599999999999994</v>
      </c>
      <c r="I89">
        <v>80.3</v>
      </c>
      <c r="J89">
        <v>74.7</v>
      </c>
      <c r="K89">
        <v>79.599999999999994</v>
      </c>
      <c r="L89">
        <v>74.099999999999994</v>
      </c>
      <c r="M89">
        <v>73.900000000000006</v>
      </c>
      <c r="N89">
        <v>69.3</v>
      </c>
      <c r="O89">
        <v>78.8</v>
      </c>
      <c r="P89">
        <v>87.1</v>
      </c>
      <c r="Q89">
        <v>85</v>
      </c>
      <c r="R89">
        <v>74.3</v>
      </c>
      <c r="S89">
        <v>72.599999999999994</v>
      </c>
      <c r="U89">
        <f t="shared" si="1"/>
        <v>78.549999999999983</v>
      </c>
    </row>
    <row r="90" spans="1:21" x14ac:dyDescent="0.45">
      <c r="A90" t="s">
        <v>302</v>
      </c>
      <c r="B90" t="s">
        <v>114</v>
      </c>
      <c r="C90">
        <v>88</v>
      </c>
      <c r="D90">
        <v>84.3</v>
      </c>
      <c r="E90">
        <v>80.3</v>
      </c>
      <c r="F90">
        <v>81.7</v>
      </c>
      <c r="G90">
        <v>82.2</v>
      </c>
      <c r="H90">
        <v>78.599999999999994</v>
      </c>
      <c r="I90">
        <v>80.3</v>
      </c>
      <c r="J90">
        <v>74.7</v>
      </c>
      <c r="K90">
        <v>79.599999999999994</v>
      </c>
      <c r="L90">
        <v>74.099999999999994</v>
      </c>
      <c r="M90">
        <v>73.900000000000006</v>
      </c>
      <c r="N90">
        <v>69.3</v>
      </c>
      <c r="O90">
        <v>78.8</v>
      </c>
      <c r="P90">
        <v>87.1</v>
      </c>
      <c r="Q90">
        <v>85</v>
      </c>
      <c r="R90">
        <v>74.3</v>
      </c>
      <c r="S90">
        <v>72.599999999999994</v>
      </c>
      <c r="U90">
        <f t="shared" si="1"/>
        <v>78.549999999999983</v>
      </c>
    </row>
    <row r="91" spans="1:21" x14ac:dyDescent="0.45">
      <c r="A91" t="s">
        <v>302</v>
      </c>
      <c r="B91" t="s">
        <v>114</v>
      </c>
      <c r="C91">
        <v>89</v>
      </c>
      <c r="D91">
        <v>84.3</v>
      </c>
      <c r="E91">
        <v>80.3</v>
      </c>
      <c r="F91">
        <v>81.7</v>
      </c>
      <c r="G91">
        <v>82.2</v>
      </c>
      <c r="H91">
        <v>78.599999999999994</v>
      </c>
      <c r="I91">
        <v>80.3</v>
      </c>
      <c r="J91">
        <v>74.7</v>
      </c>
      <c r="K91">
        <v>79.599999999999994</v>
      </c>
      <c r="L91">
        <v>74.099999999999994</v>
      </c>
      <c r="M91">
        <v>73.900000000000006</v>
      </c>
      <c r="N91">
        <v>69.3</v>
      </c>
      <c r="O91">
        <v>78.8</v>
      </c>
      <c r="P91">
        <v>87.1</v>
      </c>
      <c r="Q91">
        <v>85</v>
      </c>
      <c r="R91">
        <v>74.3</v>
      </c>
      <c r="S91">
        <v>72.599999999999994</v>
      </c>
      <c r="U91">
        <f t="shared" si="1"/>
        <v>78.549999999999983</v>
      </c>
    </row>
    <row r="92" spans="1:21" x14ac:dyDescent="0.45">
      <c r="A92" t="s">
        <v>302</v>
      </c>
      <c r="B92" t="s">
        <v>114</v>
      </c>
      <c r="C92">
        <v>90</v>
      </c>
      <c r="D92">
        <v>157.19999999999999</v>
      </c>
      <c r="E92">
        <v>156.1</v>
      </c>
      <c r="F92">
        <v>152.1</v>
      </c>
      <c r="G92">
        <v>154.30000000000001</v>
      </c>
      <c r="H92">
        <v>161.69999999999999</v>
      </c>
      <c r="I92">
        <v>158.30000000000001</v>
      </c>
      <c r="J92">
        <v>144.9</v>
      </c>
      <c r="K92">
        <v>143.80000000000001</v>
      </c>
      <c r="L92">
        <v>149.1</v>
      </c>
      <c r="M92">
        <v>143.30000000000001</v>
      </c>
      <c r="N92">
        <v>138.6</v>
      </c>
      <c r="O92">
        <v>155.69999999999999</v>
      </c>
      <c r="P92">
        <v>173.7</v>
      </c>
      <c r="Q92">
        <v>174.3</v>
      </c>
      <c r="R92">
        <v>152.80000000000001</v>
      </c>
      <c r="S92">
        <v>150</v>
      </c>
      <c r="U92">
        <f t="shared" si="1"/>
        <v>154.11875000000001</v>
      </c>
    </row>
    <row r="93" spans="1:21" x14ac:dyDescent="0.45">
      <c r="A93" t="s">
        <v>302</v>
      </c>
      <c r="B93" t="s">
        <v>114</v>
      </c>
      <c r="C93">
        <v>91</v>
      </c>
      <c r="D93">
        <v>157.19999999999999</v>
      </c>
      <c r="E93">
        <v>156.1</v>
      </c>
      <c r="F93">
        <v>152.1</v>
      </c>
      <c r="G93">
        <v>154.30000000000001</v>
      </c>
      <c r="H93">
        <v>161.69999999999999</v>
      </c>
      <c r="I93">
        <v>158.30000000000001</v>
      </c>
      <c r="J93">
        <v>144.9</v>
      </c>
      <c r="K93">
        <v>143.80000000000001</v>
      </c>
      <c r="L93">
        <v>149.1</v>
      </c>
      <c r="M93">
        <v>143.30000000000001</v>
      </c>
      <c r="N93">
        <v>138.6</v>
      </c>
      <c r="O93">
        <v>155.69999999999999</v>
      </c>
      <c r="P93">
        <v>173.7</v>
      </c>
      <c r="Q93">
        <v>174.3</v>
      </c>
      <c r="R93">
        <v>152.80000000000001</v>
      </c>
      <c r="S93">
        <v>150</v>
      </c>
      <c r="U93">
        <f t="shared" si="1"/>
        <v>154.11875000000001</v>
      </c>
    </row>
    <row r="94" spans="1:21" x14ac:dyDescent="0.45">
      <c r="A94" t="s">
        <v>302</v>
      </c>
      <c r="B94" t="s">
        <v>114</v>
      </c>
      <c r="C94">
        <v>92</v>
      </c>
      <c r="D94">
        <v>157.19999999999999</v>
      </c>
      <c r="E94">
        <v>156.1</v>
      </c>
      <c r="F94">
        <v>152.1</v>
      </c>
      <c r="G94">
        <v>154.30000000000001</v>
      </c>
      <c r="H94">
        <v>161.69999999999999</v>
      </c>
      <c r="I94">
        <v>158.30000000000001</v>
      </c>
      <c r="J94">
        <v>144.9</v>
      </c>
      <c r="K94">
        <v>143.80000000000001</v>
      </c>
      <c r="L94">
        <v>149.1</v>
      </c>
      <c r="M94">
        <v>143.30000000000001</v>
      </c>
      <c r="N94">
        <v>138.6</v>
      </c>
      <c r="O94">
        <v>155.69999999999999</v>
      </c>
      <c r="P94">
        <v>173.7</v>
      </c>
      <c r="Q94">
        <v>174.3</v>
      </c>
      <c r="R94">
        <v>152.80000000000001</v>
      </c>
      <c r="S94">
        <v>150</v>
      </c>
      <c r="U94">
        <f t="shared" si="1"/>
        <v>154.11875000000001</v>
      </c>
    </row>
    <row r="95" spans="1:21" x14ac:dyDescent="0.45">
      <c r="A95" t="s">
        <v>302</v>
      </c>
      <c r="B95" t="s">
        <v>114</v>
      </c>
      <c r="C95">
        <v>93</v>
      </c>
      <c r="D95">
        <v>157.19999999999999</v>
      </c>
      <c r="E95">
        <v>156.1</v>
      </c>
      <c r="F95">
        <v>152.1</v>
      </c>
      <c r="G95">
        <v>154.30000000000001</v>
      </c>
      <c r="H95">
        <v>161.69999999999999</v>
      </c>
      <c r="I95">
        <v>158.30000000000001</v>
      </c>
      <c r="J95">
        <v>144.9</v>
      </c>
      <c r="K95">
        <v>143.80000000000001</v>
      </c>
      <c r="L95">
        <v>149.1</v>
      </c>
      <c r="M95">
        <v>143.30000000000001</v>
      </c>
      <c r="N95">
        <v>138.6</v>
      </c>
      <c r="O95">
        <v>155.69999999999999</v>
      </c>
      <c r="P95">
        <v>173.7</v>
      </c>
      <c r="Q95">
        <v>174.3</v>
      </c>
      <c r="R95">
        <v>152.80000000000001</v>
      </c>
      <c r="S95">
        <v>150</v>
      </c>
      <c r="U95">
        <f t="shared" si="1"/>
        <v>154.11875000000001</v>
      </c>
    </row>
    <row r="96" spans="1:21" x14ac:dyDescent="0.45">
      <c r="A96" t="s">
        <v>302</v>
      </c>
      <c r="B96" t="s">
        <v>114</v>
      </c>
      <c r="C96">
        <v>94</v>
      </c>
      <c r="D96">
        <v>157.19999999999999</v>
      </c>
      <c r="E96">
        <v>156.1</v>
      </c>
      <c r="F96">
        <v>152.1</v>
      </c>
      <c r="G96">
        <v>154.30000000000001</v>
      </c>
      <c r="H96">
        <v>161.69999999999999</v>
      </c>
      <c r="I96">
        <v>158.30000000000001</v>
      </c>
      <c r="J96">
        <v>144.9</v>
      </c>
      <c r="K96">
        <v>143.80000000000001</v>
      </c>
      <c r="L96">
        <v>149.1</v>
      </c>
      <c r="M96">
        <v>143.30000000000001</v>
      </c>
      <c r="N96">
        <v>138.6</v>
      </c>
      <c r="O96">
        <v>155.69999999999999</v>
      </c>
      <c r="P96">
        <v>173.7</v>
      </c>
      <c r="Q96">
        <v>174.3</v>
      </c>
      <c r="R96">
        <v>152.80000000000001</v>
      </c>
      <c r="S96">
        <v>150</v>
      </c>
      <c r="U96">
        <f t="shared" si="1"/>
        <v>154.11875000000001</v>
      </c>
    </row>
    <row r="97" spans="1:21" x14ac:dyDescent="0.45">
      <c r="A97" t="s">
        <v>302</v>
      </c>
      <c r="B97" t="s">
        <v>114</v>
      </c>
      <c r="C97">
        <v>95</v>
      </c>
      <c r="D97">
        <v>157.19999999999999</v>
      </c>
      <c r="E97">
        <v>156.1</v>
      </c>
      <c r="F97">
        <v>152.1</v>
      </c>
      <c r="G97">
        <v>154.30000000000001</v>
      </c>
      <c r="H97">
        <v>161.69999999999999</v>
      </c>
      <c r="I97">
        <v>158.30000000000001</v>
      </c>
      <c r="J97">
        <v>144.9</v>
      </c>
      <c r="K97">
        <v>143.80000000000001</v>
      </c>
      <c r="L97">
        <v>149.1</v>
      </c>
      <c r="M97">
        <v>143.30000000000001</v>
      </c>
      <c r="N97">
        <v>138.6</v>
      </c>
      <c r="O97">
        <v>155.69999999999999</v>
      </c>
      <c r="P97">
        <v>173.7</v>
      </c>
      <c r="Q97">
        <v>174.3</v>
      </c>
      <c r="R97">
        <v>152.80000000000001</v>
      </c>
      <c r="S97">
        <v>150</v>
      </c>
      <c r="U97">
        <f t="shared" si="1"/>
        <v>154.11875000000001</v>
      </c>
    </row>
    <row r="98" spans="1:21" x14ac:dyDescent="0.45">
      <c r="A98" t="s">
        <v>302</v>
      </c>
      <c r="B98" t="s">
        <v>114</v>
      </c>
      <c r="C98">
        <v>96</v>
      </c>
      <c r="D98">
        <v>157.19999999999999</v>
      </c>
      <c r="E98">
        <v>156.1</v>
      </c>
      <c r="F98">
        <v>152.1</v>
      </c>
      <c r="G98">
        <v>154.30000000000001</v>
      </c>
      <c r="H98">
        <v>161.69999999999999</v>
      </c>
      <c r="I98">
        <v>158.30000000000001</v>
      </c>
      <c r="J98">
        <v>144.9</v>
      </c>
      <c r="K98">
        <v>143.80000000000001</v>
      </c>
      <c r="L98">
        <v>149.1</v>
      </c>
      <c r="M98">
        <v>143.30000000000001</v>
      </c>
      <c r="N98">
        <v>138.6</v>
      </c>
      <c r="O98">
        <v>155.69999999999999</v>
      </c>
      <c r="P98">
        <v>173.7</v>
      </c>
      <c r="Q98">
        <v>174.3</v>
      </c>
      <c r="R98">
        <v>152.80000000000001</v>
      </c>
      <c r="S98">
        <v>150</v>
      </c>
      <c r="U98">
        <f t="shared" si="1"/>
        <v>154.11875000000001</v>
      </c>
    </row>
    <row r="99" spans="1:21" x14ac:dyDescent="0.45">
      <c r="A99" t="s">
        <v>302</v>
      </c>
      <c r="B99" t="s">
        <v>114</v>
      </c>
      <c r="C99">
        <v>97</v>
      </c>
      <c r="D99">
        <v>157.19999999999999</v>
      </c>
      <c r="E99">
        <v>156.1</v>
      </c>
      <c r="F99">
        <v>152.1</v>
      </c>
      <c r="G99">
        <v>154.30000000000001</v>
      </c>
      <c r="H99">
        <v>161.69999999999999</v>
      </c>
      <c r="I99">
        <v>158.30000000000001</v>
      </c>
      <c r="J99">
        <v>144.9</v>
      </c>
      <c r="K99">
        <v>143.80000000000001</v>
      </c>
      <c r="L99">
        <v>149.1</v>
      </c>
      <c r="M99">
        <v>143.30000000000001</v>
      </c>
      <c r="N99">
        <v>138.6</v>
      </c>
      <c r="O99">
        <v>155.69999999999999</v>
      </c>
      <c r="P99">
        <v>173.7</v>
      </c>
      <c r="Q99">
        <v>174.3</v>
      </c>
      <c r="R99">
        <v>152.80000000000001</v>
      </c>
      <c r="S99">
        <v>150</v>
      </c>
      <c r="U99">
        <f t="shared" si="1"/>
        <v>154.11875000000001</v>
      </c>
    </row>
    <row r="100" spans="1:21" x14ac:dyDescent="0.45">
      <c r="A100" t="s">
        <v>302</v>
      </c>
      <c r="B100" t="s">
        <v>114</v>
      </c>
      <c r="C100">
        <v>98</v>
      </c>
      <c r="D100">
        <v>157.19999999999999</v>
      </c>
      <c r="E100">
        <v>156.1</v>
      </c>
      <c r="F100">
        <v>152.1</v>
      </c>
      <c r="G100">
        <v>154.30000000000001</v>
      </c>
      <c r="H100">
        <v>161.69999999999999</v>
      </c>
      <c r="I100">
        <v>158.30000000000001</v>
      </c>
      <c r="J100">
        <v>144.9</v>
      </c>
      <c r="K100">
        <v>143.80000000000001</v>
      </c>
      <c r="L100">
        <v>149.1</v>
      </c>
      <c r="M100">
        <v>143.30000000000001</v>
      </c>
      <c r="N100">
        <v>138.6</v>
      </c>
      <c r="O100">
        <v>155.69999999999999</v>
      </c>
      <c r="P100">
        <v>173.7</v>
      </c>
      <c r="Q100">
        <v>174.3</v>
      </c>
      <c r="R100">
        <v>152.80000000000001</v>
      </c>
      <c r="S100">
        <v>150</v>
      </c>
      <c r="U100">
        <f t="shared" si="1"/>
        <v>154.11875000000001</v>
      </c>
    </row>
    <row r="101" spans="1:21" x14ac:dyDescent="0.45">
      <c r="A101" t="s">
        <v>302</v>
      </c>
      <c r="B101" t="s">
        <v>114</v>
      </c>
      <c r="C101">
        <v>99</v>
      </c>
      <c r="D101">
        <v>157.19999999999999</v>
      </c>
      <c r="E101">
        <v>156.1</v>
      </c>
      <c r="F101">
        <v>152.1</v>
      </c>
      <c r="G101">
        <v>154.30000000000001</v>
      </c>
      <c r="H101">
        <v>161.69999999999999</v>
      </c>
      <c r="I101">
        <v>158.30000000000001</v>
      </c>
      <c r="J101">
        <v>144.9</v>
      </c>
      <c r="K101">
        <v>143.80000000000001</v>
      </c>
      <c r="L101">
        <v>149.1</v>
      </c>
      <c r="M101">
        <v>143.30000000000001</v>
      </c>
      <c r="N101">
        <v>138.6</v>
      </c>
      <c r="O101">
        <v>155.69999999999999</v>
      </c>
      <c r="P101">
        <v>173.7</v>
      </c>
      <c r="Q101">
        <v>174.3</v>
      </c>
      <c r="R101">
        <v>152.80000000000001</v>
      </c>
      <c r="S101">
        <v>150</v>
      </c>
      <c r="U101">
        <f t="shared" si="1"/>
        <v>154.11875000000001</v>
      </c>
    </row>
    <row r="102" spans="1:21" x14ac:dyDescent="0.45">
      <c r="A102" t="s">
        <v>302</v>
      </c>
      <c r="B102" t="s">
        <v>114</v>
      </c>
      <c r="C102">
        <v>100</v>
      </c>
      <c r="D102">
        <v>157.19999999999999</v>
      </c>
      <c r="E102">
        <v>156.1</v>
      </c>
      <c r="F102">
        <v>152.1</v>
      </c>
      <c r="G102">
        <v>154.30000000000001</v>
      </c>
      <c r="H102">
        <v>161.69999999999999</v>
      </c>
      <c r="I102">
        <v>158.30000000000001</v>
      </c>
      <c r="J102">
        <v>144.9</v>
      </c>
      <c r="K102">
        <v>143.80000000000001</v>
      </c>
      <c r="L102">
        <v>149.1</v>
      </c>
      <c r="M102">
        <v>143.30000000000001</v>
      </c>
      <c r="N102">
        <v>138.6</v>
      </c>
      <c r="O102">
        <v>155.69999999999999</v>
      </c>
      <c r="P102">
        <v>173.7</v>
      </c>
      <c r="Q102">
        <v>174.3</v>
      </c>
      <c r="R102">
        <v>152.80000000000001</v>
      </c>
      <c r="S102">
        <v>150</v>
      </c>
      <c r="U102">
        <f t="shared" si="1"/>
        <v>154.11875000000001</v>
      </c>
    </row>
    <row r="103" spans="1:21" x14ac:dyDescent="0.45">
      <c r="A103" t="s">
        <v>302</v>
      </c>
      <c r="B103" t="s">
        <v>113</v>
      </c>
      <c r="C103">
        <v>0</v>
      </c>
      <c r="D103">
        <v>1.9</v>
      </c>
      <c r="E103">
        <v>2.2999999999999998</v>
      </c>
      <c r="F103">
        <v>2</v>
      </c>
      <c r="G103">
        <v>1.8</v>
      </c>
      <c r="H103">
        <v>1.9</v>
      </c>
      <c r="I103">
        <v>2.2000000000000002</v>
      </c>
      <c r="J103">
        <v>2.2999999999999998</v>
      </c>
      <c r="K103">
        <v>2</v>
      </c>
      <c r="L103">
        <v>2.2999999999999998</v>
      </c>
      <c r="M103">
        <v>1.8</v>
      </c>
      <c r="N103">
        <v>2.1</v>
      </c>
      <c r="O103">
        <v>1.6</v>
      </c>
      <c r="P103">
        <v>1.9</v>
      </c>
      <c r="Q103">
        <v>1.9</v>
      </c>
      <c r="R103">
        <v>1.8</v>
      </c>
      <c r="S103">
        <v>2.1</v>
      </c>
      <c r="U103">
        <f t="shared" si="1"/>
        <v>1.9937500000000001</v>
      </c>
    </row>
    <row r="104" spans="1:21" x14ac:dyDescent="0.45">
      <c r="A104" t="s">
        <v>302</v>
      </c>
      <c r="B104" t="s">
        <v>113</v>
      </c>
      <c r="C104">
        <v>1</v>
      </c>
      <c r="D104">
        <v>0.2</v>
      </c>
      <c r="E104">
        <v>0.2</v>
      </c>
      <c r="F104">
        <v>0.2</v>
      </c>
      <c r="G104">
        <v>0.1</v>
      </c>
      <c r="H104">
        <v>0.1</v>
      </c>
      <c r="I104">
        <v>0.2</v>
      </c>
      <c r="J104">
        <v>0.2</v>
      </c>
      <c r="K104">
        <v>0.1</v>
      </c>
      <c r="L104">
        <v>0.1</v>
      </c>
      <c r="M104">
        <v>0.1</v>
      </c>
      <c r="N104">
        <v>0.1</v>
      </c>
      <c r="O104">
        <v>0.1</v>
      </c>
      <c r="P104">
        <v>0.2</v>
      </c>
      <c r="Q104">
        <v>0.2</v>
      </c>
      <c r="R104">
        <v>0.1</v>
      </c>
      <c r="S104">
        <v>0.1</v>
      </c>
      <c r="U104">
        <f t="shared" si="1"/>
        <v>0.14375000000000004</v>
      </c>
    </row>
    <row r="105" spans="1:21" x14ac:dyDescent="0.45">
      <c r="A105" t="s">
        <v>302</v>
      </c>
      <c r="B105" t="s">
        <v>113</v>
      </c>
      <c r="C105">
        <v>2</v>
      </c>
      <c r="D105">
        <v>0.2</v>
      </c>
      <c r="E105">
        <v>0.2</v>
      </c>
      <c r="F105">
        <v>0.2</v>
      </c>
      <c r="G105">
        <v>0.1</v>
      </c>
      <c r="H105">
        <v>0.1</v>
      </c>
      <c r="I105">
        <v>0.2</v>
      </c>
      <c r="J105">
        <v>0.2</v>
      </c>
      <c r="K105">
        <v>0.1</v>
      </c>
      <c r="L105">
        <v>0.1</v>
      </c>
      <c r="M105">
        <v>0.1</v>
      </c>
      <c r="N105">
        <v>0.1</v>
      </c>
      <c r="O105">
        <v>0.1</v>
      </c>
      <c r="P105">
        <v>0.2</v>
      </c>
      <c r="Q105">
        <v>0.2</v>
      </c>
      <c r="R105">
        <v>0.1</v>
      </c>
      <c r="S105">
        <v>0.1</v>
      </c>
      <c r="U105">
        <f t="shared" si="1"/>
        <v>0.14375000000000004</v>
      </c>
    </row>
    <row r="106" spans="1:21" x14ac:dyDescent="0.45">
      <c r="A106" t="s">
        <v>302</v>
      </c>
      <c r="B106" t="s">
        <v>113</v>
      </c>
      <c r="C106">
        <v>3</v>
      </c>
      <c r="D106">
        <v>0.2</v>
      </c>
      <c r="E106">
        <v>0.2</v>
      </c>
      <c r="F106">
        <v>0.2</v>
      </c>
      <c r="G106">
        <v>0.1</v>
      </c>
      <c r="H106">
        <v>0.1</v>
      </c>
      <c r="I106">
        <v>0.2</v>
      </c>
      <c r="J106">
        <v>0.2</v>
      </c>
      <c r="K106">
        <v>0.1</v>
      </c>
      <c r="L106">
        <v>0.1</v>
      </c>
      <c r="M106">
        <v>0.1</v>
      </c>
      <c r="N106">
        <v>0.1</v>
      </c>
      <c r="O106">
        <v>0.1</v>
      </c>
      <c r="P106">
        <v>0.2</v>
      </c>
      <c r="Q106">
        <v>0.2</v>
      </c>
      <c r="R106">
        <v>0.1</v>
      </c>
      <c r="S106">
        <v>0.1</v>
      </c>
      <c r="U106">
        <f t="shared" si="1"/>
        <v>0.14375000000000004</v>
      </c>
    </row>
    <row r="107" spans="1:21" x14ac:dyDescent="0.45">
      <c r="A107" t="s">
        <v>302</v>
      </c>
      <c r="B107" t="s">
        <v>113</v>
      </c>
      <c r="C107">
        <v>4</v>
      </c>
      <c r="D107">
        <v>0.2</v>
      </c>
      <c r="E107">
        <v>0.2</v>
      </c>
      <c r="F107">
        <v>0.2</v>
      </c>
      <c r="G107">
        <v>0.1</v>
      </c>
      <c r="H107">
        <v>0.1</v>
      </c>
      <c r="I107">
        <v>0.2</v>
      </c>
      <c r="J107">
        <v>0.2</v>
      </c>
      <c r="K107">
        <v>0.1</v>
      </c>
      <c r="L107">
        <v>0.1</v>
      </c>
      <c r="M107">
        <v>0.1</v>
      </c>
      <c r="N107">
        <v>0.1</v>
      </c>
      <c r="O107">
        <v>0.1</v>
      </c>
      <c r="P107">
        <v>0.2</v>
      </c>
      <c r="Q107">
        <v>0.2</v>
      </c>
      <c r="R107">
        <v>0.1</v>
      </c>
      <c r="S107">
        <v>0.1</v>
      </c>
      <c r="U107">
        <f t="shared" si="1"/>
        <v>0.14375000000000004</v>
      </c>
    </row>
    <row r="108" spans="1:21" x14ac:dyDescent="0.45">
      <c r="A108" t="s">
        <v>302</v>
      </c>
      <c r="B108" t="s">
        <v>113</v>
      </c>
      <c r="C108">
        <v>5</v>
      </c>
      <c r="D108">
        <v>0.1</v>
      </c>
      <c r="E108">
        <v>0.1</v>
      </c>
      <c r="F108">
        <v>0.1</v>
      </c>
      <c r="G108">
        <v>0.1</v>
      </c>
      <c r="H108" t="s">
        <v>303</v>
      </c>
      <c r="I108">
        <v>0.1</v>
      </c>
      <c r="J108">
        <v>0.1</v>
      </c>
      <c r="K108">
        <v>0.1</v>
      </c>
      <c r="L108" t="s">
        <v>303</v>
      </c>
      <c r="M108">
        <v>0.1</v>
      </c>
      <c r="N108" t="s">
        <v>303</v>
      </c>
      <c r="O108" t="s">
        <v>303</v>
      </c>
      <c r="P108">
        <v>0.1</v>
      </c>
      <c r="Q108">
        <v>0.1</v>
      </c>
      <c r="R108">
        <v>0.1</v>
      </c>
      <c r="S108" t="s">
        <v>303</v>
      </c>
      <c r="U108">
        <f t="shared" si="1"/>
        <v>9.9999999999999992E-2</v>
      </c>
    </row>
    <row r="109" spans="1:21" x14ac:dyDescent="0.45">
      <c r="A109" t="s">
        <v>302</v>
      </c>
      <c r="B109" t="s">
        <v>113</v>
      </c>
      <c r="C109">
        <v>6</v>
      </c>
      <c r="D109">
        <v>0.1</v>
      </c>
      <c r="E109">
        <v>0.1</v>
      </c>
      <c r="F109">
        <v>0.1</v>
      </c>
      <c r="G109">
        <v>0.1</v>
      </c>
      <c r="H109" t="s">
        <v>303</v>
      </c>
      <c r="I109">
        <v>0.1</v>
      </c>
      <c r="J109">
        <v>0.1</v>
      </c>
      <c r="K109">
        <v>0.1</v>
      </c>
      <c r="L109" t="s">
        <v>303</v>
      </c>
      <c r="M109">
        <v>0.1</v>
      </c>
      <c r="N109" t="s">
        <v>303</v>
      </c>
      <c r="O109" t="s">
        <v>303</v>
      </c>
      <c r="P109">
        <v>0.1</v>
      </c>
      <c r="Q109">
        <v>0.1</v>
      </c>
      <c r="R109">
        <v>0.1</v>
      </c>
      <c r="S109" t="s">
        <v>303</v>
      </c>
      <c r="U109">
        <f t="shared" si="1"/>
        <v>9.9999999999999992E-2</v>
      </c>
    </row>
    <row r="110" spans="1:21" x14ac:dyDescent="0.45">
      <c r="A110" t="s">
        <v>302</v>
      </c>
      <c r="B110" t="s">
        <v>113</v>
      </c>
      <c r="C110">
        <v>7</v>
      </c>
      <c r="D110">
        <v>0.1</v>
      </c>
      <c r="E110">
        <v>0.1</v>
      </c>
      <c r="F110">
        <v>0.1</v>
      </c>
      <c r="G110">
        <v>0.1</v>
      </c>
      <c r="H110" t="s">
        <v>303</v>
      </c>
      <c r="I110">
        <v>0.1</v>
      </c>
      <c r="J110">
        <v>0.1</v>
      </c>
      <c r="K110">
        <v>0.1</v>
      </c>
      <c r="L110" t="s">
        <v>303</v>
      </c>
      <c r="M110">
        <v>0.1</v>
      </c>
      <c r="N110" t="s">
        <v>303</v>
      </c>
      <c r="O110" t="s">
        <v>303</v>
      </c>
      <c r="P110">
        <v>0.1</v>
      </c>
      <c r="Q110">
        <v>0.1</v>
      </c>
      <c r="R110">
        <v>0.1</v>
      </c>
      <c r="S110" t="s">
        <v>303</v>
      </c>
      <c r="U110">
        <f t="shared" si="1"/>
        <v>9.9999999999999992E-2</v>
      </c>
    </row>
    <row r="111" spans="1:21" x14ac:dyDescent="0.45">
      <c r="A111" t="s">
        <v>302</v>
      </c>
      <c r="B111" t="s">
        <v>113</v>
      </c>
      <c r="C111">
        <v>8</v>
      </c>
      <c r="D111">
        <v>0.1</v>
      </c>
      <c r="E111">
        <v>0.1</v>
      </c>
      <c r="F111">
        <v>0.1</v>
      </c>
      <c r="G111">
        <v>0.1</v>
      </c>
      <c r="H111" t="s">
        <v>303</v>
      </c>
      <c r="I111">
        <v>0.1</v>
      </c>
      <c r="J111">
        <v>0.1</v>
      </c>
      <c r="K111">
        <v>0.1</v>
      </c>
      <c r="L111" t="s">
        <v>303</v>
      </c>
      <c r="M111">
        <v>0.1</v>
      </c>
      <c r="N111" t="s">
        <v>303</v>
      </c>
      <c r="O111" t="s">
        <v>303</v>
      </c>
      <c r="P111">
        <v>0.1</v>
      </c>
      <c r="Q111">
        <v>0.1</v>
      </c>
      <c r="R111">
        <v>0.1</v>
      </c>
      <c r="S111" t="s">
        <v>303</v>
      </c>
      <c r="U111">
        <f t="shared" si="1"/>
        <v>9.9999999999999992E-2</v>
      </c>
    </row>
    <row r="112" spans="1:21" x14ac:dyDescent="0.45">
      <c r="A112" t="s">
        <v>302</v>
      </c>
      <c r="B112" t="s">
        <v>113</v>
      </c>
      <c r="C112">
        <v>9</v>
      </c>
      <c r="D112">
        <v>0.1</v>
      </c>
      <c r="E112">
        <v>0.1</v>
      </c>
      <c r="F112">
        <v>0.1</v>
      </c>
      <c r="G112">
        <v>0.1</v>
      </c>
      <c r="H112" t="s">
        <v>303</v>
      </c>
      <c r="I112">
        <v>0.1</v>
      </c>
      <c r="J112">
        <v>0.1</v>
      </c>
      <c r="K112">
        <v>0.1</v>
      </c>
      <c r="L112" t="s">
        <v>303</v>
      </c>
      <c r="M112">
        <v>0.1</v>
      </c>
      <c r="N112" t="s">
        <v>303</v>
      </c>
      <c r="O112" t="s">
        <v>303</v>
      </c>
      <c r="P112">
        <v>0.1</v>
      </c>
      <c r="Q112">
        <v>0.1</v>
      </c>
      <c r="R112">
        <v>0.1</v>
      </c>
      <c r="S112" t="s">
        <v>303</v>
      </c>
      <c r="U112">
        <f t="shared" si="1"/>
        <v>9.9999999999999992E-2</v>
      </c>
    </row>
    <row r="113" spans="1:21" x14ac:dyDescent="0.45">
      <c r="A113" t="s">
        <v>302</v>
      </c>
      <c r="B113" t="s">
        <v>113</v>
      </c>
      <c r="C113">
        <v>10</v>
      </c>
      <c r="D113">
        <v>0.1</v>
      </c>
      <c r="E113">
        <v>0.1</v>
      </c>
      <c r="F113">
        <v>0.2</v>
      </c>
      <c r="G113">
        <v>0.1</v>
      </c>
      <c r="H113" t="s">
        <v>303</v>
      </c>
      <c r="I113">
        <v>0.1</v>
      </c>
      <c r="J113">
        <v>0.2</v>
      </c>
      <c r="K113">
        <v>0.1</v>
      </c>
      <c r="L113">
        <v>0.1</v>
      </c>
      <c r="M113" t="s">
        <v>303</v>
      </c>
      <c r="N113">
        <v>0.1</v>
      </c>
      <c r="O113">
        <v>0.1</v>
      </c>
      <c r="P113">
        <v>0.2</v>
      </c>
      <c r="Q113">
        <v>0.2</v>
      </c>
      <c r="R113">
        <v>0.1</v>
      </c>
      <c r="S113">
        <v>0.1</v>
      </c>
      <c r="U113">
        <f t="shared" si="1"/>
        <v>0.12857142857142859</v>
      </c>
    </row>
    <row r="114" spans="1:21" x14ac:dyDescent="0.45">
      <c r="A114" t="s">
        <v>302</v>
      </c>
      <c r="B114" t="s">
        <v>113</v>
      </c>
      <c r="C114">
        <v>11</v>
      </c>
      <c r="D114">
        <v>0.1</v>
      </c>
      <c r="E114">
        <v>0.1</v>
      </c>
      <c r="F114">
        <v>0.2</v>
      </c>
      <c r="G114">
        <v>0.1</v>
      </c>
      <c r="H114" t="s">
        <v>303</v>
      </c>
      <c r="I114">
        <v>0.1</v>
      </c>
      <c r="J114">
        <v>0.2</v>
      </c>
      <c r="K114">
        <v>0.1</v>
      </c>
      <c r="L114">
        <v>0.1</v>
      </c>
      <c r="M114" t="s">
        <v>303</v>
      </c>
      <c r="N114">
        <v>0.1</v>
      </c>
      <c r="O114">
        <v>0.1</v>
      </c>
      <c r="P114">
        <v>0.2</v>
      </c>
      <c r="Q114">
        <v>0.2</v>
      </c>
      <c r="R114">
        <v>0.1</v>
      </c>
      <c r="S114">
        <v>0.1</v>
      </c>
      <c r="U114">
        <f t="shared" si="1"/>
        <v>0.12857142857142859</v>
      </c>
    </row>
    <row r="115" spans="1:21" x14ac:dyDescent="0.45">
      <c r="A115" t="s">
        <v>302</v>
      </c>
      <c r="B115" t="s">
        <v>113</v>
      </c>
      <c r="C115">
        <v>12</v>
      </c>
      <c r="D115">
        <v>0.1</v>
      </c>
      <c r="E115">
        <v>0.1</v>
      </c>
      <c r="F115">
        <v>0.2</v>
      </c>
      <c r="G115">
        <v>0.1</v>
      </c>
      <c r="H115" t="s">
        <v>303</v>
      </c>
      <c r="I115">
        <v>0.1</v>
      </c>
      <c r="J115">
        <v>0.2</v>
      </c>
      <c r="K115">
        <v>0.1</v>
      </c>
      <c r="L115">
        <v>0.1</v>
      </c>
      <c r="M115" t="s">
        <v>303</v>
      </c>
      <c r="N115">
        <v>0.1</v>
      </c>
      <c r="O115">
        <v>0.1</v>
      </c>
      <c r="P115">
        <v>0.2</v>
      </c>
      <c r="Q115">
        <v>0.2</v>
      </c>
      <c r="R115">
        <v>0.1</v>
      </c>
      <c r="S115">
        <v>0.1</v>
      </c>
      <c r="U115">
        <f t="shared" si="1"/>
        <v>0.12857142857142859</v>
      </c>
    </row>
    <row r="116" spans="1:21" x14ac:dyDescent="0.45">
      <c r="A116" t="s">
        <v>302</v>
      </c>
      <c r="B116" t="s">
        <v>113</v>
      </c>
      <c r="C116">
        <v>13</v>
      </c>
      <c r="D116">
        <v>0.1</v>
      </c>
      <c r="E116">
        <v>0.1</v>
      </c>
      <c r="F116">
        <v>0.2</v>
      </c>
      <c r="G116">
        <v>0.1</v>
      </c>
      <c r="H116" t="s">
        <v>303</v>
      </c>
      <c r="I116">
        <v>0.1</v>
      </c>
      <c r="J116">
        <v>0.2</v>
      </c>
      <c r="K116">
        <v>0.1</v>
      </c>
      <c r="L116">
        <v>0.1</v>
      </c>
      <c r="M116" t="s">
        <v>303</v>
      </c>
      <c r="N116">
        <v>0.1</v>
      </c>
      <c r="O116">
        <v>0.1</v>
      </c>
      <c r="P116">
        <v>0.2</v>
      </c>
      <c r="Q116">
        <v>0.2</v>
      </c>
      <c r="R116">
        <v>0.1</v>
      </c>
      <c r="S116">
        <v>0.1</v>
      </c>
      <c r="U116">
        <f t="shared" si="1"/>
        <v>0.12857142857142859</v>
      </c>
    </row>
    <row r="117" spans="1:21" x14ac:dyDescent="0.45">
      <c r="A117" t="s">
        <v>302</v>
      </c>
      <c r="B117" t="s">
        <v>113</v>
      </c>
      <c r="C117">
        <v>14</v>
      </c>
      <c r="D117">
        <v>0.1</v>
      </c>
      <c r="E117">
        <v>0.1</v>
      </c>
      <c r="F117">
        <v>0.2</v>
      </c>
      <c r="G117">
        <v>0.1</v>
      </c>
      <c r="H117" t="s">
        <v>303</v>
      </c>
      <c r="I117">
        <v>0.1</v>
      </c>
      <c r="J117">
        <v>0.2</v>
      </c>
      <c r="K117">
        <v>0.1</v>
      </c>
      <c r="L117">
        <v>0.1</v>
      </c>
      <c r="M117" t="s">
        <v>303</v>
      </c>
      <c r="N117">
        <v>0.1</v>
      </c>
      <c r="O117">
        <v>0.1</v>
      </c>
      <c r="P117">
        <v>0.2</v>
      </c>
      <c r="Q117">
        <v>0.2</v>
      </c>
      <c r="R117">
        <v>0.1</v>
      </c>
      <c r="S117">
        <v>0.1</v>
      </c>
      <c r="U117">
        <f t="shared" si="1"/>
        <v>0.12857142857142859</v>
      </c>
    </row>
    <row r="118" spans="1:21" x14ac:dyDescent="0.45">
      <c r="A118" t="s">
        <v>302</v>
      </c>
      <c r="B118" t="s">
        <v>113</v>
      </c>
      <c r="C118">
        <v>15</v>
      </c>
      <c r="D118">
        <v>0.2</v>
      </c>
      <c r="E118">
        <v>0.2</v>
      </c>
      <c r="F118">
        <v>0.2</v>
      </c>
      <c r="G118">
        <v>0.3</v>
      </c>
      <c r="H118">
        <v>0.3</v>
      </c>
      <c r="I118">
        <v>0.2</v>
      </c>
      <c r="J118">
        <v>0.3</v>
      </c>
      <c r="K118">
        <v>0.3</v>
      </c>
      <c r="L118">
        <v>0.3</v>
      </c>
      <c r="M118">
        <v>0.2</v>
      </c>
      <c r="N118">
        <v>0.2</v>
      </c>
      <c r="O118">
        <v>0.3</v>
      </c>
      <c r="P118">
        <v>0.2</v>
      </c>
      <c r="Q118">
        <v>0.3</v>
      </c>
      <c r="R118">
        <v>0.2</v>
      </c>
      <c r="S118">
        <v>0.2</v>
      </c>
      <c r="U118">
        <f t="shared" si="1"/>
        <v>0.24375000000000002</v>
      </c>
    </row>
    <row r="119" spans="1:21" x14ac:dyDescent="0.45">
      <c r="A119" t="s">
        <v>302</v>
      </c>
      <c r="B119" t="s">
        <v>113</v>
      </c>
      <c r="C119">
        <v>16</v>
      </c>
      <c r="D119">
        <v>0.2</v>
      </c>
      <c r="E119">
        <v>0.2</v>
      </c>
      <c r="F119">
        <v>0.2</v>
      </c>
      <c r="G119">
        <v>0.3</v>
      </c>
      <c r="H119">
        <v>0.3</v>
      </c>
      <c r="I119">
        <v>0.2</v>
      </c>
      <c r="J119">
        <v>0.3</v>
      </c>
      <c r="K119">
        <v>0.3</v>
      </c>
      <c r="L119">
        <v>0.3</v>
      </c>
      <c r="M119">
        <v>0.2</v>
      </c>
      <c r="N119">
        <v>0.2</v>
      </c>
      <c r="O119">
        <v>0.3</v>
      </c>
      <c r="P119">
        <v>0.2</v>
      </c>
      <c r="Q119">
        <v>0.3</v>
      </c>
      <c r="R119">
        <v>0.2</v>
      </c>
      <c r="S119">
        <v>0.2</v>
      </c>
      <c r="U119">
        <f t="shared" si="1"/>
        <v>0.24375000000000002</v>
      </c>
    </row>
    <row r="120" spans="1:21" x14ac:dyDescent="0.45">
      <c r="A120" t="s">
        <v>302</v>
      </c>
      <c r="B120" t="s">
        <v>113</v>
      </c>
      <c r="C120">
        <v>17</v>
      </c>
      <c r="D120">
        <v>0.2</v>
      </c>
      <c r="E120">
        <v>0.2</v>
      </c>
      <c r="F120">
        <v>0.2</v>
      </c>
      <c r="G120">
        <v>0.3</v>
      </c>
      <c r="H120">
        <v>0.3</v>
      </c>
      <c r="I120">
        <v>0.2</v>
      </c>
      <c r="J120">
        <v>0.3</v>
      </c>
      <c r="K120">
        <v>0.3</v>
      </c>
      <c r="L120">
        <v>0.3</v>
      </c>
      <c r="M120">
        <v>0.2</v>
      </c>
      <c r="N120">
        <v>0.2</v>
      </c>
      <c r="O120">
        <v>0.3</v>
      </c>
      <c r="P120">
        <v>0.2</v>
      </c>
      <c r="Q120">
        <v>0.3</v>
      </c>
      <c r="R120">
        <v>0.2</v>
      </c>
      <c r="S120">
        <v>0.2</v>
      </c>
      <c r="U120">
        <f t="shared" si="1"/>
        <v>0.24375000000000002</v>
      </c>
    </row>
    <row r="121" spans="1:21" x14ac:dyDescent="0.45">
      <c r="A121" t="s">
        <v>302</v>
      </c>
      <c r="B121" t="s">
        <v>113</v>
      </c>
      <c r="C121">
        <v>18</v>
      </c>
      <c r="D121">
        <v>0.2</v>
      </c>
      <c r="E121">
        <v>0.2</v>
      </c>
      <c r="F121">
        <v>0.2</v>
      </c>
      <c r="G121">
        <v>0.3</v>
      </c>
      <c r="H121">
        <v>0.3</v>
      </c>
      <c r="I121">
        <v>0.2</v>
      </c>
      <c r="J121">
        <v>0.3</v>
      </c>
      <c r="K121">
        <v>0.3</v>
      </c>
      <c r="L121">
        <v>0.3</v>
      </c>
      <c r="M121">
        <v>0.2</v>
      </c>
      <c r="N121">
        <v>0.2</v>
      </c>
      <c r="O121">
        <v>0.3</v>
      </c>
      <c r="P121">
        <v>0.2</v>
      </c>
      <c r="Q121">
        <v>0.3</v>
      </c>
      <c r="R121">
        <v>0.2</v>
      </c>
      <c r="S121">
        <v>0.2</v>
      </c>
      <c r="U121">
        <f t="shared" si="1"/>
        <v>0.24375000000000002</v>
      </c>
    </row>
    <row r="122" spans="1:21" x14ac:dyDescent="0.45">
      <c r="A122" t="s">
        <v>302</v>
      </c>
      <c r="B122" t="s">
        <v>113</v>
      </c>
      <c r="C122">
        <v>19</v>
      </c>
      <c r="D122">
        <v>0.2</v>
      </c>
      <c r="E122">
        <v>0.2</v>
      </c>
      <c r="F122">
        <v>0.2</v>
      </c>
      <c r="G122">
        <v>0.3</v>
      </c>
      <c r="H122">
        <v>0.3</v>
      </c>
      <c r="I122">
        <v>0.2</v>
      </c>
      <c r="J122">
        <v>0.3</v>
      </c>
      <c r="K122">
        <v>0.3</v>
      </c>
      <c r="L122">
        <v>0.3</v>
      </c>
      <c r="M122">
        <v>0.2</v>
      </c>
      <c r="N122">
        <v>0.2</v>
      </c>
      <c r="O122">
        <v>0.3</v>
      </c>
      <c r="P122">
        <v>0.2</v>
      </c>
      <c r="Q122">
        <v>0.3</v>
      </c>
      <c r="R122">
        <v>0.2</v>
      </c>
      <c r="S122">
        <v>0.2</v>
      </c>
      <c r="U122">
        <f t="shared" si="1"/>
        <v>0.24375000000000002</v>
      </c>
    </row>
    <row r="123" spans="1:21" x14ac:dyDescent="0.45">
      <c r="A123" t="s">
        <v>302</v>
      </c>
      <c r="B123" t="s">
        <v>113</v>
      </c>
      <c r="C123">
        <v>20</v>
      </c>
      <c r="D123">
        <v>0.4</v>
      </c>
      <c r="E123">
        <v>0.5</v>
      </c>
      <c r="F123">
        <v>0.5</v>
      </c>
      <c r="G123">
        <v>0.4</v>
      </c>
      <c r="H123">
        <v>0.4</v>
      </c>
      <c r="I123">
        <v>0.3</v>
      </c>
      <c r="J123">
        <v>0.3</v>
      </c>
      <c r="K123">
        <v>0.3</v>
      </c>
      <c r="L123">
        <v>0.4</v>
      </c>
      <c r="M123">
        <v>0.4</v>
      </c>
      <c r="N123">
        <v>0.3</v>
      </c>
      <c r="O123">
        <v>0.3</v>
      </c>
      <c r="P123">
        <v>0.4</v>
      </c>
      <c r="Q123">
        <v>0.4</v>
      </c>
      <c r="R123">
        <v>0.4</v>
      </c>
      <c r="S123">
        <v>0.3</v>
      </c>
      <c r="U123">
        <f t="shared" si="1"/>
        <v>0.375</v>
      </c>
    </row>
    <row r="124" spans="1:21" x14ac:dyDescent="0.45">
      <c r="A124" t="s">
        <v>302</v>
      </c>
      <c r="B124" t="s">
        <v>113</v>
      </c>
      <c r="C124">
        <v>21</v>
      </c>
      <c r="D124">
        <v>0.4</v>
      </c>
      <c r="E124">
        <v>0.5</v>
      </c>
      <c r="F124">
        <v>0.5</v>
      </c>
      <c r="G124">
        <v>0.4</v>
      </c>
      <c r="H124">
        <v>0.4</v>
      </c>
      <c r="I124">
        <v>0.3</v>
      </c>
      <c r="J124">
        <v>0.3</v>
      </c>
      <c r="K124">
        <v>0.3</v>
      </c>
      <c r="L124">
        <v>0.4</v>
      </c>
      <c r="M124">
        <v>0.4</v>
      </c>
      <c r="N124">
        <v>0.3</v>
      </c>
      <c r="O124">
        <v>0.3</v>
      </c>
      <c r="P124">
        <v>0.4</v>
      </c>
      <c r="Q124">
        <v>0.4</v>
      </c>
      <c r="R124">
        <v>0.4</v>
      </c>
      <c r="S124">
        <v>0.3</v>
      </c>
      <c r="U124">
        <f t="shared" si="1"/>
        <v>0.375</v>
      </c>
    </row>
    <row r="125" spans="1:21" x14ac:dyDescent="0.45">
      <c r="A125" t="s">
        <v>302</v>
      </c>
      <c r="B125" t="s">
        <v>113</v>
      </c>
      <c r="C125">
        <v>22</v>
      </c>
      <c r="D125">
        <v>0.4</v>
      </c>
      <c r="E125">
        <v>0.5</v>
      </c>
      <c r="F125">
        <v>0.5</v>
      </c>
      <c r="G125">
        <v>0.4</v>
      </c>
      <c r="H125">
        <v>0.4</v>
      </c>
      <c r="I125">
        <v>0.3</v>
      </c>
      <c r="J125">
        <v>0.3</v>
      </c>
      <c r="K125">
        <v>0.3</v>
      </c>
      <c r="L125">
        <v>0.4</v>
      </c>
      <c r="M125">
        <v>0.4</v>
      </c>
      <c r="N125">
        <v>0.3</v>
      </c>
      <c r="O125">
        <v>0.3</v>
      </c>
      <c r="P125">
        <v>0.4</v>
      </c>
      <c r="Q125">
        <v>0.4</v>
      </c>
      <c r="R125">
        <v>0.4</v>
      </c>
      <c r="S125">
        <v>0.3</v>
      </c>
      <c r="U125">
        <f t="shared" si="1"/>
        <v>0.375</v>
      </c>
    </row>
    <row r="126" spans="1:21" x14ac:dyDescent="0.45">
      <c r="A126" t="s">
        <v>302</v>
      </c>
      <c r="B126" t="s">
        <v>113</v>
      </c>
      <c r="C126">
        <v>23</v>
      </c>
      <c r="D126">
        <v>0.4</v>
      </c>
      <c r="E126">
        <v>0.5</v>
      </c>
      <c r="F126">
        <v>0.5</v>
      </c>
      <c r="G126">
        <v>0.4</v>
      </c>
      <c r="H126">
        <v>0.4</v>
      </c>
      <c r="I126">
        <v>0.3</v>
      </c>
      <c r="J126">
        <v>0.3</v>
      </c>
      <c r="K126">
        <v>0.3</v>
      </c>
      <c r="L126">
        <v>0.4</v>
      </c>
      <c r="M126">
        <v>0.4</v>
      </c>
      <c r="N126">
        <v>0.3</v>
      </c>
      <c r="O126">
        <v>0.3</v>
      </c>
      <c r="P126">
        <v>0.4</v>
      </c>
      <c r="Q126">
        <v>0.4</v>
      </c>
      <c r="R126">
        <v>0.4</v>
      </c>
      <c r="S126">
        <v>0.3</v>
      </c>
      <c r="U126">
        <f t="shared" si="1"/>
        <v>0.375</v>
      </c>
    </row>
    <row r="127" spans="1:21" x14ac:dyDescent="0.45">
      <c r="A127" t="s">
        <v>302</v>
      </c>
      <c r="B127" t="s">
        <v>113</v>
      </c>
      <c r="C127">
        <v>24</v>
      </c>
      <c r="D127">
        <v>0.4</v>
      </c>
      <c r="E127">
        <v>0.5</v>
      </c>
      <c r="F127">
        <v>0.5</v>
      </c>
      <c r="G127">
        <v>0.4</v>
      </c>
      <c r="H127">
        <v>0.4</v>
      </c>
      <c r="I127">
        <v>0.3</v>
      </c>
      <c r="J127">
        <v>0.3</v>
      </c>
      <c r="K127">
        <v>0.3</v>
      </c>
      <c r="L127">
        <v>0.4</v>
      </c>
      <c r="M127">
        <v>0.4</v>
      </c>
      <c r="N127">
        <v>0.3</v>
      </c>
      <c r="O127">
        <v>0.3</v>
      </c>
      <c r="P127">
        <v>0.4</v>
      </c>
      <c r="Q127">
        <v>0.4</v>
      </c>
      <c r="R127">
        <v>0.4</v>
      </c>
      <c r="S127">
        <v>0.3</v>
      </c>
      <c r="U127">
        <f t="shared" si="1"/>
        <v>0.375</v>
      </c>
    </row>
    <row r="128" spans="1:21" x14ac:dyDescent="0.45">
      <c r="A128" t="s">
        <v>302</v>
      </c>
      <c r="B128" t="s">
        <v>113</v>
      </c>
      <c r="C128">
        <v>25</v>
      </c>
      <c r="D128">
        <v>0.4</v>
      </c>
      <c r="E128">
        <v>0.4</v>
      </c>
      <c r="F128">
        <v>0.4</v>
      </c>
      <c r="G128">
        <v>0.3</v>
      </c>
      <c r="H128">
        <v>0.3</v>
      </c>
      <c r="I128">
        <v>0.4</v>
      </c>
      <c r="J128">
        <v>0.4</v>
      </c>
      <c r="K128">
        <v>0.3</v>
      </c>
      <c r="L128">
        <v>0.3</v>
      </c>
      <c r="M128">
        <v>0.3</v>
      </c>
      <c r="N128">
        <v>0.3</v>
      </c>
      <c r="O128">
        <v>0.4</v>
      </c>
      <c r="P128">
        <v>0.5</v>
      </c>
      <c r="Q128">
        <v>0.5</v>
      </c>
      <c r="R128">
        <v>0.4</v>
      </c>
      <c r="S128">
        <v>0.5</v>
      </c>
      <c r="U128">
        <f t="shared" si="1"/>
        <v>0.38124999999999998</v>
      </c>
    </row>
    <row r="129" spans="1:21" x14ac:dyDescent="0.45">
      <c r="A129" t="s">
        <v>302</v>
      </c>
      <c r="B129" t="s">
        <v>113</v>
      </c>
      <c r="C129">
        <v>26</v>
      </c>
      <c r="D129">
        <v>0.4</v>
      </c>
      <c r="E129">
        <v>0.4</v>
      </c>
      <c r="F129">
        <v>0.4</v>
      </c>
      <c r="G129">
        <v>0.3</v>
      </c>
      <c r="H129">
        <v>0.3</v>
      </c>
      <c r="I129">
        <v>0.4</v>
      </c>
      <c r="J129">
        <v>0.4</v>
      </c>
      <c r="K129">
        <v>0.3</v>
      </c>
      <c r="L129">
        <v>0.3</v>
      </c>
      <c r="M129">
        <v>0.3</v>
      </c>
      <c r="N129">
        <v>0.3</v>
      </c>
      <c r="O129">
        <v>0.4</v>
      </c>
      <c r="P129">
        <v>0.5</v>
      </c>
      <c r="Q129">
        <v>0.5</v>
      </c>
      <c r="R129">
        <v>0.4</v>
      </c>
      <c r="S129">
        <v>0.5</v>
      </c>
      <c r="U129">
        <f t="shared" si="1"/>
        <v>0.38124999999999998</v>
      </c>
    </row>
    <row r="130" spans="1:21" x14ac:dyDescent="0.45">
      <c r="A130" t="s">
        <v>302</v>
      </c>
      <c r="B130" t="s">
        <v>113</v>
      </c>
      <c r="C130">
        <v>27</v>
      </c>
      <c r="D130">
        <v>0.4</v>
      </c>
      <c r="E130">
        <v>0.4</v>
      </c>
      <c r="F130">
        <v>0.4</v>
      </c>
      <c r="G130">
        <v>0.3</v>
      </c>
      <c r="H130">
        <v>0.3</v>
      </c>
      <c r="I130">
        <v>0.4</v>
      </c>
      <c r="J130">
        <v>0.4</v>
      </c>
      <c r="K130">
        <v>0.3</v>
      </c>
      <c r="L130">
        <v>0.3</v>
      </c>
      <c r="M130">
        <v>0.3</v>
      </c>
      <c r="N130">
        <v>0.3</v>
      </c>
      <c r="O130">
        <v>0.4</v>
      </c>
      <c r="P130">
        <v>0.5</v>
      </c>
      <c r="Q130">
        <v>0.5</v>
      </c>
      <c r="R130">
        <v>0.4</v>
      </c>
      <c r="S130">
        <v>0.5</v>
      </c>
      <c r="U130">
        <f t="shared" si="1"/>
        <v>0.38124999999999998</v>
      </c>
    </row>
    <row r="131" spans="1:21" x14ac:dyDescent="0.45">
      <c r="A131" t="s">
        <v>302</v>
      </c>
      <c r="B131" t="s">
        <v>113</v>
      </c>
      <c r="C131">
        <v>28</v>
      </c>
      <c r="D131">
        <v>0.4</v>
      </c>
      <c r="E131">
        <v>0.4</v>
      </c>
      <c r="F131">
        <v>0.4</v>
      </c>
      <c r="G131">
        <v>0.3</v>
      </c>
      <c r="H131">
        <v>0.3</v>
      </c>
      <c r="I131">
        <v>0.4</v>
      </c>
      <c r="J131">
        <v>0.4</v>
      </c>
      <c r="K131">
        <v>0.3</v>
      </c>
      <c r="L131">
        <v>0.3</v>
      </c>
      <c r="M131">
        <v>0.3</v>
      </c>
      <c r="N131">
        <v>0.3</v>
      </c>
      <c r="O131">
        <v>0.4</v>
      </c>
      <c r="P131">
        <v>0.5</v>
      </c>
      <c r="Q131">
        <v>0.5</v>
      </c>
      <c r="R131">
        <v>0.4</v>
      </c>
      <c r="S131">
        <v>0.5</v>
      </c>
      <c r="U131">
        <f t="shared" ref="U131:U194" si="2">AVERAGE(D131:S131)</f>
        <v>0.38124999999999998</v>
      </c>
    </row>
    <row r="132" spans="1:21" x14ac:dyDescent="0.45">
      <c r="A132" t="s">
        <v>302</v>
      </c>
      <c r="B132" t="s">
        <v>113</v>
      </c>
      <c r="C132">
        <v>29</v>
      </c>
      <c r="D132">
        <v>0.4</v>
      </c>
      <c r="E132">
        <v>0.4</v>
      </c>
      <c r="F132">
        <v>0.4</v>
      </c>
      <c r="G132">
        <v>0.3</v>
      </c>
      <c r="H132">
        <v>0.3</v>
      </c>
      <c r="I132">
        <v>0.4</v>
      </c>
      <c r="J132">
        <v>0.4</v>
      </c>
      <c r="K132">
        <v>0.3</v>
      </c>
      <c r="L132">
        <v>0.3</v>
      </c>
      <c r="M132">
        <v>0.3</v>
      </c>
      <c r="N132">
        <v>0.3</v>
      </c>
      <c r="O132">
        <v>0.4</v>
      </c>
      <c r="P132">
        <v>0.5</v>
      </c>
      <c r="Q132">
        <v>0.5</v>
      </c>
      <c r="R132">
        <v>0.4</v>
      </c>
      <c r="S132">
        <v>0.5</v>
      </c>
      <c r="U132">
        <f t="shared" si="2"/>
        <v>0.38124999999999998</v>
      </c>
    </row>
    <row r="133" spans="1:21" x14ac:dyDescent="0.45">
      <c r="A133" t="s">
        <v>302</v>
      </c>
      <c r="B133" t="s">
        <v>113</v>
      </c>
      <c r="C133">
        <v>30</v>
      </c>
      <c r="D133">
        <v>0.4</v>
      </c>
      <c r="E133">
        <v>0.5</v>
      </c>
      <c r="F133">
        <v>0.4</v>
      </c>
      <c r="G133">
        <v>0.6</v>
      </c>
      <c r="H133">
        <v>0.5</v>
      </c>
      <c r="I133">
        <v>0.5</v>
      </c>
      <c r="J133">
        <v>0.4</v>
      </c>
      <c r="K133">
        <v>0.5</v>
      </c>
      <c r="L133">
        <v>0.5</v>
      </c>
      <c r="M133">
        <v>0.4</v>
      </c>
      <c r="N133">
        <v>0.4</v>
      </c>
      <c r="O133">
        <v>0.4</v>
      </c>
      <c r="P133">
        <v>0.5</v>
      </c>
      <c r="Q133">
        <v>0.5</v>
      </c>
      <c r="R133">
        <v>0.5</v>
      </c>
      <c r="S133">
        <v>0.4</v>
      </c>
      <c r="U133">
        <f t="shared" si="2"/>
        <v>0.46250000000000008</v>
      </c>
    </row>
    <row r="134" spans="1:21" x14ac:dyDescent="0.45">
      <c r="A134" t="s">
        <v>302</v>
      </c>
      <c r="B134" t="s">
        <v>113</v>
      </c>
      <c r="C134">
        <v>31</v>
      </c>
      <c r="D134">
        <v>0.4</v>
      </c>
      <c r="E134">
        <v>0.5</v>
      </c>
      <c r="F134">
        <v>0.4</v>
      </c>
      <c r="G134">
        <v>0.6</v>
      </c>
      <c r="H134">
        <v>0.5</v>
      </c>
      <c r="I134">
        <v>0.5</v>
      </c>
      <c r="J134">
        <v>0.4</v>
      </c>
      <c r="K134">
        <v>0.5</v>
      </c>
      <c r="L134">
        <v>0.5</v>
      </c>
      <c r="M134">
        <v>0.4</v>
      </c>
      <c r="N134">
        <v>0.4</v>
      </c>
      <c r="O134">
        <v>0.4</v>
      </c>
      <c r="P134">
        <v>0.5</v>
      </c>
      <c r="Q134">
        <v>0.5</v>
      </c>
      <c r="R134">
        <v>0.5</v>
      </c>
      <c r="S134">
        <v>0.4</v>
      </c>
      <c r="U134">
        <f t="shared" si="2"/>
        <v>0.46250000000000008</v>
      </c>
    </row>
    <row r="135" spans="1:21" x14ac:dyDescent="0.45">
      <c r="A135" t="s">
        <v>302</v>
      </c>
      <c r="B135" t="s">
        <v>113</v>
      </c>
      <c r="C135">
        <v>32</v>
      </c>
      <c r="D135">
        <v>0.4</v>
      </c>
      <c r="E135">
        <v>0.5</v>
      </c>
      <c r="F135">
        <v>0.4</v>
      </c>
      <c r="G135">
        <v>0.6</v>
      </c>
      <c r="H135">
        <v>0.5</v>
      </c>
      <c r="I135">
        <v>0.5</v>
      </c>
      <c r="J135">
        <v>0.4</v>
      </c>
      <c r="K135">
        <v>0.5</v>
      </c>
      <c r="L135">
        <v>0.5</v>
      </c>
      <c r="M135">
        <v>0.4</v>
      </c>
      <c r="N135">
        <v>0.4</v>
      </c>
      <c r="O135">
        <v>0.4</v>
      </c>
      <c r="P135">
        <v>0.5</v>
      </c>
      <c r="Q135">
        <v>0.5</v>
      </c>
      <c r="R135">
        <v>0.5</v>
      </c>
      <c r="S135">
        <v>0.4</v>
      </c>
      <c r="U135">
        <f t="shared" si="2"/>
        <v>0.46250000000000008</v>
      </c>
    </row>
    <row r="136" spans="1:21" x14ac:dyDescent="0.45">
      <c r="A136" t="s">
        <v>302</v>
      </c>
      <c r="B136" t="s">
        <v>113</v>
      </c>
      <c r="C136">
        <v>33</v>
      </c>
      <c r="D136">
        <v>0.4</v>
      </c>
      <c r="E136">
        <v>0.5</v>
      </c>
      <c r="F136">
        <v>0.4</v>
      </c>
      <c r="G136">
        <v>0.6</v>
      </c>
      <c r="H136">
        <v>0.5</v>
      </c>
      <c r="I136">
        <v>0.5</v>
      </c>
      <c r="J136">
        <v>0.4</v>
      </c>
      <c r="K136">
        <v>0.5</v>
      </c>
      <c r="L136">
        <v>0.5</v>
      </c>
      <c r="M136">
        <v>0.4</v>
      </c>
      <c r="N136">
        <v>0.4</v>
      </c>
      <c r="O136">
        <v>0.4</v>
      </c>
      <c r="P136">
        <v>0.5</v>
      </c>
      <c r="Q136">
        <v>0.5</v>
      </c>
      <c r="R136">
        <v>0.5</v>
      </c>
      <c r="S136">
        <v>0.4</v>
      </c>
      <c r="U136">
        <f t="shared" si="2"/>
        <v>0.46250000000000008</v>
      </c>
    </row>
    <row r="137" spans="1:21" x14ac:dyDescent="0.45">
      <c r="A137" t="s">
        <v>302</v>
      </c>
      <c r="B137" t="s">
        <v>113</v>
      </c>
      <c r="C137">
        <v>34</v>
      </c>
      <c r="D137">
        <v>0.4</v>
      </c>
      <c r="E137">
        <v>0.5</v>
      </c>
      <c r="F137">
        <v>0.4</v>
      </c>
      <c r="G137">
        <v>0.6</v>
      </c>
      <c r="H137">
        <v>0.5</v>
      </c>
      <c r="I137">
        <v>0.5</v>
      </c>
      <c r="J137">
        <v>0.4</v>
      </c>
      <c r="K137">
        <v>0.5</v>
      </c>
      <c r="L137">
        <v>0.5</v>
      </c>
      <c r="M137">
        <v>0.4</v>
      </c>
      <c r="N137">
        <v>0.4</v>
      </c>
      <c r="O137">
        <v>0.4</v>
      </c>
      <c r="P137">
        <v>0.5</v>
      </c>
      <c r="Q137">
        <v>0.5</v>
      </c>
      <c r="R137">
        <v>0.5</v>
      </c>
      <c r="S137">
        <v>0.4</v>
      </c>
      <c r="U137">
        <f t="shared" si="2"/>
        <v>0.46250000000000008</v>
      </c>
    </row>
    <row r="138" spans="1:21" x14ac:dyDescent="0.45">
      <c r="A138" t="s">
        <v>302</v>
      </c>
      <c r="B138" t="s">
        <v>113</v>
      </c>
      <c r="C138">
        <v>35</v>
      </c>
      <c r="D138">
        <v>0.8</v>
      </c>
      <c r="E138">
        <v>0.7</v>
      </c>
      <c r="F138">
        <v>0.6</v>
      </c>
      <c r="G138">
        <v>0.6</v>
      </c>
      <c r="H138">
        <v>0.7</v>
      </c>
      <c r="I138">
        <v>0.7</v>
      </c>
      <c r="J138">
        <v>0.6</v>
      </c>
      <c r="K138">
        <v>0.7</v>
      </c>
      <c r="L138">
        <v>0.6</v>
      </c>
      <c r="M138">
        <v>0.6</v>
      </c>
      <c r="N138">
        <v>0.6</v>
      </c>
      <c r="O138">
        <v>0.7</v>
      </c>
      <c r="P138">
        <v>0.6</v>
      </c>
      <c r="Q138">
        <v>0.6</v>
      </c>
      <c r="R138">
        <v>0.7</v>
      </c>
      <c r="S138">
        <v>0.6</v>
      </c>
      <c r="U138">
        <f t="shared" si="2"/>
        <v>0.64999999999999991</v>
      </c>
    </row>
    <row r="139" spans="1:21" x14ac:dyDescent="0.45">
      <c r="A139" t="s">
        <v>302</v>
      </c>
      <c r="B139" t="s">
        <v>113</v>
      </c>
      <c r="C139">
        <v>36</v>
      </c>
      <c r="D139">
        <v>0.8</v>
      </c>
      <c r="E139">
        <v>0.7</v>
      </c>
      <c r="F139">
        <v>0.6</v>
      </c>
      <c r="G139">
        <v>0.6</v>
      </c>
      <c r="H139">
        <v>0.7</v>
      </c>
      <c r="I139">
        <v>0.7</v>
      </c>
      <c r="J139">
        <v>0.6</v>
      </c>
      <c r="K139">
        <v>0.7</v>
      </c>
      <c r="L139">
        <v>0.6</v>
      </c>
      <c r="M139">
        <v>0.6</v>
      </c>
      <c r="N139">
        <v>0.6</v>
      </c>
      <c r="O139">
        <v>0.7</v>
      </c>
      <c r="P139">
        <v>0.6</v>
      </c>
      <c r="Q139">
        <v>0.6</v>
      </c>
      <c r="R139">
        <v>0.7</v>
      </c>
      <c r="S139">
        <v>0.6</v>
      </c>
      <c r="U139">
        <f t="shared" si="2"/>
        <v>0.64999999999999991</v>
      </c>
    </row>
    <row r="140" spans="1:21" x14ac:dyDescent="0.45">
      <c r="A140" t="s">
        <v>302</v>
      </c>
      <c r="B140" t="s">
        <v>113</v>
      </c>
      <c r="C140">
        <v>37</v>
      </c>
      <c r="D140">
        <v>0.8</v>
      </c>
      <c r="E140">
        <v>0.7</v>
      </c>
      <c r="F140">
        <v>0.6</v>
      </c>
      <c r="G140">
        <v>0.6</v>
      </c>
      <c r="H140">
        <v>0.7</v>
      </c>
      <c r="I140">
        <v>0.7</v>
      </c>
      <c r="J140">
        <v>0.6</v>
      </c>
      <c r="K140">
        <v>0.7</v>
      </c>
      <c r="L140">
        <v>0.6</v>
      </c>
      <c r="M140">
        <v>0.6</v>
      </c>
      <c r="N140">
        <v>0.6</v>
      </c>
      <c r="O140">
        <v>0.7</v>
      </c>
      <c r="P140">
        <v>0.6</v>
      </c>
      <c r="Q140">
        <v>0.6</v>
      </c>
      <c r="R140">
        <v>0.7</v>
      </c>
      <c r="S140">
        <v>0.6</v>
      </c>
      <c r="U140">
        <f t="shared" si="2"/>
        <v>0.64999999999999991</v>
      </c>
    </row>
    <row r="141" spans="1:21" x14ac:dyDescent="0.45">
      <c r="A141" t="s">
        <v>302</v>
      </c>
      <c r="B141" t="s">
        <v>113</v>
      </c>
      <c r="C141">
        <v>38</v>
      </c>
      <c r="D141">
        <v>0.8</v>
      </c>
      <c r="E141">
        <v>0.7</v>
      </c>
      <c r="F141">
        <v>0.6</v>
      </c>
      <c r="G141">
        <v>0.6</v>
      </c>
      <c r="H141">
        <v>0.7</v>
      </c>
      <c r="I141">
        <v>0.7</v>
      </c>
      <c r="J141">
        <v>0.6</v>
      </c>
      <c r="K141">
        <v>0.7</v>
      </c>
      <c r="L141">
        <v>0.6</v>
      </c>
      <c r="M141">
        <v>0.6</v>
      </c>
      <c r="N141">
        <v>0.6</v>
      </c>
      <c r="O141">
        <v>0.7</v>
      </c>
      <c r="P141">
        <v>0.6</v>
      </c>
      <c r="Q141">
        <v>0.6</v>
      </c>
      <c r="R141">
        <v>0.7</v>
      </c>
      <c r="S141">
        <v>0.6</v>
      </c>
      <c r="U141">
        <f t="shared" si="2"/>
        <v>0.64999999999999991</v>
      </c>
    </row>
    <row r="142" spans="1:21" x14ac:dyDescent="0.45">
      <c r="A142" t="s">
        <v>302</v>
      </c>
      <c r="B142" t="s">
        <v>113</v>
      </c>
      <c r="C142">
        <v>39</v>
      </c>
      <c r="D142">
        <v>0.8</v>
      </c>
      <c r="E142">
        <v>0.7</v>
      </c>
      <c r="F142">
        <v>0.6</v>
      </c>
      <c r="G142">
        <v>0.6</v>
      </c>
      <c r="H142">
        <v>0.7</v>
      </c>
      <c r="I142">
        <v>0.7</v>
      </c>
      <c r="J142">
        <v>0.6</v>
      </c>
      <c r="K142">
        <v>0.7</v>
      </c>
      <c r="L142">
        <v>0.6</v>
      </c>
      <c r="M142">
        <v>0.6</v>
      </c>
      <c r="N142">
        <v>0.6</v>
      </c>
      <c r="O142">
        <v>0.7</v>
      </c>
      <c r="P142">
        <v>0.6</v>
      </c>
      <c r="Q142">
        <v>0.6</v>
      </c>
      <c r="R142">
        <v>0.7</v>
      </c>
      <c r="S142">
        <v>0.6</v>
      </c>
      <c r="U142">
        <f t="shared" si="2"/>
        <v>0.64999999999999991</v>
      </c>
    </row>
    <row r="143" spans="1:21" x14ac:dyDescent="0.45">
      <c r="A143" t="s">
        <v>302</v>
      </c>
      <c r="B143" t="s">
        <v>113</v>
      </c>
      <c r="C143">
        <v>40</v>
      </c>
      <c r="D143">
        <v>1.3</v>
      </c>
      <c r="E143">
        <v>1</v>
      </c>
      <c r="F143">
        <v>1.2</v>
      </c>
      <c r="G143">
        <v>1.2</v>
      </c>
      <c r="H143">
        <v>1.3</v>
      </c>
      <c r="I143">
        <v>1.1000000000000001</v>
      </c>
      <c r="J143">
        <v>1.1000000000000001</v>
      </c>
      <c r="K143">
        <v>1.1000000000000001</v>
      </c>
      <c r="L143">
        <v>0.9</v>
      </c>
      <c r="M143">
        <v>1</v>
      </c>
      <c r="N143">
        <v>1</v>
      </c>
      <c r="O143">
        <v>1</v>
      </c>
      <c r="P143">
        <v>1.1000000000000001</v>
      </c>
      <c r="Q143">
        <v>1</v>
      </c>
      <c r="R143">
        <v>1</v>
      </c>
      <c r="S143">
        <v>0.9</v>
      </c>
      <c r="U143">
        <f t="shared" si="2"/>
        <v>1.0749999999999997</v>
      </c>
    </row>
    <row r="144" spans="1:21" x14ac:dyDescent="0.45">
      <c r="A144" t="s">
        <v>302</v>
      </c>
      <c r="B144" t="s">
        <v>113</v>
      </c>
      <c r="C144">
        <v>41</v>
      </c>
      <c r="D144">
        <v>1.3</v>
      </c>
      <c r="E144">
        <v>1</v>
      </c>
      <c r="F144">
        <v>1.2</v>
      </c>
      <c r="G144">
        <v>1.2</v>
      </c>
      <c r="H144">
        <v>1.3</v>
      </c>
      <c r="I144">
        <v>1.1000000000000001</v>
      </c>
      <c r="J144">
        <v>1.1000000000000001</v>
      </c>
      <c r="K144">
        <v>1.1000000000000001</v>
      </c>
      <c r="L144">
        <v>0.9</v>
      </c>
      <c r="M144">
        <v>1</v>
      </c>
      <c r="N144">
        <v>1</v>
      </c>
      <c r="O144">
        <v>1</v>
      </c>
      <c r="P144">
        <v>1.1000000000000001</v>
      </c>
      <c r="Q144">
        <v>1</v>
      </c>
      <c r="R144">
        <v>1</v>
      </c>
      <c r="S144">
        <v>0.9</v>
      </c>
      <c r="U144">
        <f t="shared" si="2"/>
        <v>1.0749999999999997</v>
      </c>
    </row>
    <row r="145" spans="1:21" x14ac:dyDescent="0.45">
      <c r="A145" t="s">
        <v>302</v>
      </c>
      <c r="B145" t="s">
        <v>113</v>
      </c>
      <c r="C145">
        <v>42</v>
      </c>
      <c r="D145">
        <v>1.3</v>
      </c>
      <c r="E145">
        <v>1</v>
      </c>
      <c r="F145">
        <v>1.2</v>
      </c>
      <c r="G145">
        <v>1.2</v>
      </c>
      <c r="H145">
        <v>1.3</v>
      </c>
      <c r="I145">
        <v>1.1000000000000001</v>
      </c>
      <c r="J145">
        <v>1.1000000000000001</v>
      </c>
      <c r="K145">
        <v>1.1000000000000001</v>
      </c>
      <c r="L145">
        <v>0.9</v>
      </c>
      <c r="M145">
        <v>1</v>
      </c>
      <c r="N145">
        <v>1</v>
      </c>
      <c r="O145">
        <v>1</v>
      </c>
      <c r="P145">
        <v>1.1000000000000001</v>
      </c>
      <c r="Q145">
        <v>1</v>
      </c>
      <c r="R145">
        <v>1</v>
      </c>
      <c r="S145">
        <v>0.9</v>
      </c>
      <c r="U145">
        <f t="shared" si="2"/>
        <v>1.0749999999999997</v>
      </c>
    </row>
    <row r="146" spans="1:21" x14ac:dyDescent="0.45">
      <c r="A146" t="s">
        <v>302</v>
      </c>
      <c r="B146" t="s">
        <v>113</v>
      </c>
      <c r="C146">
        <v>43</v>
      </c>
      <c r="D146">
        <v>1.3</v>
      </c>
      <c r="E146">
        <v>1</v>
      </c>
      <c r="F146">
        <v>1.2</v>
      </c>
      <c r="G146">
        <v>1.2</v>
      </c>
      <c r="H146">
        <v>1.3</v>
      </c>
      <c r="I146">
        <v>1.1000000000000001</v>
      </c>
      <c r="J146">
        <v>1.1000000000000001</v>
      </c>
      <c r="K146">
        <v>1.1000000000000001</v>
      </c>
      <c r="L146">
        <v>0.9</v>
      </c>
      <c r="M146">
        <v>1</v>
      </c>
      <c r="N146">
        <v>1</v>
      </c>
      <c r="O146">
        <v>1</v>
      </c>
      <c r="P146">
        <v>1.1000000000000001</v>
      </c>
      <c r="Q146">
        <v>1</v>
      </c>
      <c r="R146">
        <v>1</v>
      </c>
      <c r="S146">
        <v>0.9</v>
      </c>
      <c r="U146">
        <f t="shared" si="2"/>
        <v>1.0749999999999997</v>
      </c>
    </row>
    <row r="147" spans="1:21" x14ac:dyDescent="0.45">
      <c r="A147" t="s">
        <v>302</v>
      </c>
      <c r="B147" t="s">
        <v>113</v>
      </c>
      <c r="C147">
        <v>44</v>
      </c>
      <c r="D147">
        <v>1.3</v>
      </c>
      <c r="E147">
        <v>1</v>
      </c>
      <c r="F147">
        <v>1.2</v>
      </c>
      <c r="G147">
        <v>1.2</v>
      </c>
      <c r="H147">
        <v>1.3</v>
      </c>
      <c r="I147">
        <v>1.1000000000000001</v>
      </c>
      <c r="J147">
        <v>1.1000000000000001</v>
      </c>
      <c r="K147">
        <v>1.1000000000000001</v>
      </c>
      <c r="L147">
        <v>0.9</v>
      </c>
      <c r="M147">
        <v>1</v>
      </c>
      <c r="N147">
        <v>1</v>
      </c>
      <c r="O147">
        <v>1</v>
      </c>
      <c r="P147">
        <v>1.1000000000000001</v>
      </c>
      <c r="Q147">
        <v>1</v>
      </c>
      <c r="R147">
        <v>1</v>
      </c>
      <c r="S147">
        <v>0.9</v>
      </c>
      <c r="U147">
        <f t="shared" si="2"/>
        <v>1.0749999999999997</v>
      </c>
    </row>
    <row r="148" spans="1:21" x14ac:dyDescent="0.45">
      <c r="A148" t="s">
        <v>302</v>
      </c>
      <c r="B148" t="s">
        <v>113</v>
      </c>
      <c r="C148">
        <v>45</v>
      </c>
      <c r="D148">
        <v>2.2000000000000002</v>
      </c>
      <c r="E148">
        <v>2.2000000000000002</v>
      </c>
      <c r="F148">
        <v>1.9</v>
      </c>
      <c r="G148">
        <v>2</v>
      </c>
      <c r="H148">
        <v>1.7</v>
      </c>
      <c r="I148">
        <v>1.9</v>
      </c>
      <c r="J148">
        <v>1.7</v>
      </c>
      <c r="K148">
        <v>1.7</v>
      </c>
      <c r="L148">
        <v>1.8</v>
      </c>
      <c r="M148">
        <v>1.7</v>
      </c>
      <c r="N148">
        <v>1.6</v>
      </c>
      <c r="O148">
        <v>1.9</v>
      </c>
      <c r="P148">
        <v>1.8</v>
      </c>
      <c r="Q148">
        <v>1.7</v>
      </c>
      <c r="R148">
        <v>1.7</v>
      </c>
      <c r="S148">
        <v>1.5</v>
      </c>
      <c r="U148">
        <f t="shared" si="2"/>
        <v>1.8124999999999998</v>
      </c>
    </row>
    <row r="149" spans="1:21" x14ac:dyDescent="0.45">
      <c r="A149" t="s">
        <v>302</v>
      </c>
      <c r="B149" t="s">
        <v>113</v>
      </c>
      <c r="C149">
        <v>46</v>
      </c>
      <c r="D149">
        <v>2.2000000000000002</v>
      </c>
      <c r="E149">
        <v>2.2000000000000002</v>
      </c>
      <c r="F149">
        <v>1.9</v>
      </c>
      <c r="G149">
        <v>2</v>
      </c>
      <c r="H149">
        <v>1.7</v>
      </c>
      <c r="I149">
        <v>1.9</v>
      </c>
      <c r="J149">
        <v>1.7</v>
      </c>
      <c r="K149">
        <v>1.7</v>
      </c>
      <c r="L149">
        <v>1.8</v>
      </c>
      <c r="M149">
        <v>1.7</v>
      </c>
      <c r="N149">
        <v>1.6</v>
      </c>
      <c r="O149">
        <v>1.9</v>
      </c>
      <c r="P149">
        <v>1.8</v>
      </c>
      <c r="Q149">
        <v>1.7</v>
      </c>
      <c r="R149">
        <v>1.7</v>
      </c>
      <c r="S149">
        <v>1.5</v>
      </c>
      <c r="U149">
        <f t="shared" si="2"/>
        <v>1.8124999999999998</v>
      </c>
    </row>
    <row r="150" spans="1:21" x14ac:dyDescent="0.45">
      <c r="A150" t="s">
        <v>302</v>
      </c>
      <c r="B150" t="s">
        <v>113</v>
      </c>
      <c r="C150">
        <v>47</v>
      </c>
      <c r="D150">
        <v>2.2000000000000002</v>
      </c>
      <c r="E150">
        <v>2.2000000000000002</v>
      </c>
      <c r="F150">
        <v>1.9</v>
      </c>
      <c r="G150">
        <v>2</v>
      </c>
      <c r="H150">
        <v>1.7</v>
      </c>
      <c r="I150">
        <v>1.9</v>
      </c>
      <c r="J150">
        <v>1.7</v>
      </c>
      <c r="K150">
        <v>1.7</v>
      </c>
      <c r="L150">
        <v>1.8</v>
      </c>
      <c r="M150">
        <v>1.7</v>
      </c>
      <c r="N150">
        <v>1.6</v>
      </c>
      <c r="O150">
        <v>1.9</v>
      </c>
      <c r="P150">
        <v>1.8</v>
      </c>
      <c r="Q150">
        <v>1.7</v>
      </c>
      <c r="R150">
        <v>1.7</v>
      </c>
      <c r="S150">
        <v>1.5</v>
      </c>
      <c r="U150">
        <f t="shared" si="2"/>
        <v>1.8124999999999998</v>
      </c>
    </row>
    <row r="151" spans="1:21" x14ac:dyDescent="0.45">
      <c r="A151" t="s">
        <v>302</v>
      </c>
      <c r="B151" t="s">
        <v>113</v>
      </c>
      <c r="C151">
        <v>48</v>
      </c>
      <c r="D151">
        <v>2.2000000000000002</v>
      </c>
      <c r="E151">
        <v>2.2000000000000002</v>
      </c>
      <c r="F151">
        <v>1.9</v>
      </c>
      <c r="G151">
        <v>2</v>
      </c>
      <c r="H151">
        <v>1.7</v>
      </c>
      <c r="I151">
        <v>1.9</v>
      </c>
      <c r="J151">
        <v>1.7</v>
      </c>
      <c r="K151">
        <v>1.7</v>
      </c>
      <c r="L151">
        <v>1.8</v>
      </c>
      <c r="M151">
        <v>1.7</v>
      </c>
      <c r="N151">
        <v>1.6</v>
      </c>
      <c r="O151">
        <v>1.9</v>
      </c>
      <c r="P151">
        <v>1.8</v>
      </c>
      <c r="Q151">
        <v>1.7</v>
      </c>
      <c r="R151">
        <v>1.7</v>
      </c>
      <c r="S151">
        <v>1.5</v>
      </c>
      <c r="U151">
        <f t="shared" si="2"/>
        <v>1.8124999999999998</v>
      </c>
    </row>
    <row r="152" spans="1:21" x14ac:dyDescent="0.45">
      <c r="A152" t="s">
        <v>302</v>
      </c>
      <c r="B152" t="s">
        <v>113</v>
      </c>
      <c r="C152">
        <v>49</v>
      </c>
      <c r="D152">
        <v>2.2000000000000002</v>
      </c>
      <c r="E152">
        <v>2.2000000000000002</v>
      </c>
      <c r="F152">
        <v>1.9</v>
      </c>
      <c r="G152">
        <v>2</v>
      </c>
      <c r="H152">
        <v>1.7</v>
      </c>
      <c r="I152">
        <v>1.9</v>
      </c>
      <c r="J152">
        <v>1.7</v>
      </c>
      <c r="K152">
        <v>1.7</v>
      </c>
      <c r="L152">
        <v>1.8</v>
      </c>
      <c r="M152">
        <v>1.7</v>
      </c>
      <c r="N152">
        <v>1.6</v>
      </c>
      <c r="O152">
        <v>1.9</v>
      </c>
      <c r="P152">
        <v>1.8</v>
      </c>
      <c r="Q152">
        <v>1.7</v>
      </c>
      <c r="R152">
        <v>1.7</v>
      </c>
      <c r="S152">
        <v>1.5</v>
      </c>
      <c r="U152">
        <f t="shared" si="2"/>
        <v>1.8124999999999998</v>
      </c>
    </row>
    <row r="153" spans="1:21" x14ac:dyDescent="0.45">
      <c r="A153" t="s">
        <v>302</v>
      </c>
      <c r="B153" t="s">
        <v>113</v>
      </c>
      <c r="C153">
        <v>50</v>
      </c>
      <c r="D153">
        <v>3.9</v>
      </c>
      <c r="E153">
        <v>3.6</v>
      </c>
      <c r="F153">
        <v>3.1</v>
      </c>
      <c r="G153">
        <v>3.4</v>
      </c>
      <c r="H153">
        <v>3</v>
      </c>
      <c r="I153">
        <v>3.1</v>
      </c>
      <c r="J153">
        <v>3.1</v>
      </c>
      <c r="K153">
        <v>3.1</v>
      </c>
      <c r="L153">
        <v>2.8</v>
      </c>
      <c r="M153">
        <v>2.6</v>
      </c>
      <c r="N153">
        <v>2.8</v>
      </c>
      <c r="O153">
        <v>2.9</v>
      </c>
      <c r="P153">
        <v>3</v>
      </c>
      <c r="Q153">
        <v>2.8</v>
      </c>
      <c r="R153">
        <v>2.8</v>
      </c>
      <c r="S153">
        <v>2.7</v>
      </c>
      <c r="U153">
        <f t="shared" si="2"/>
        <v>3.0437500000000002</v>
      </c>
    </row>
    <row r="154" spans="1:21" x14ac:dyDescent="0.45">
      <c r="A154" t="s">
        <v>302</v>
      </c>
      <c r="B154" t="s">
        <v>113</v>
      </c>
      <c r="C154">
        <v>51</v>
      </c>
      <c r="D154">
        <v>3.9</v>
      </c>
      <c r="E154">
        <v>3.6</v>
      </c>
      <c r="F154">
        <v>3.1</v>
      </c>
      <c r="G154">
        <v>3.4</v>
      </c>
      <c r="H154">
        <v>3</v>
      </c>
      <c r="I154">
        <v>3.1</v>
      </c>
      <c r="J154">
        <v>3.1</v>
      </c>
      <c r="K154">
        <v>3.1</v>
      </c>
      <c r="L154">
        <v>2.8</v>
      </c>
      <c r="M154">
        <v>2.6</v>
      </c>
      <c r="N154">
        <v>2.8</v>
      </c>
      <c r="O154">
        <v>2.9</v>
      </c>
      <c r="P154">
        <v>3</v>
      </c>
      <c r="Q154">
        <v>2.8</v>
      </c>
      <c r="R154">
        <v>2.8</v>
      </c>
      <c r="S154">
        <v>2.7</v>
      </c>
      <c r="U154">
        <f t="shared" si="2"/>
        <v>3.0437500000000002</v>
      </c>
    </row>
    <row r="155" spans="1:21" x14ac:dyDescent="0.45">
      <c r="A155" t="s">
        <v>302</v>
      </c>
      <c r="B155" t="s">
        <v>113</v>
      </c>
      <c r="C155">
        <v>52</v>
      </c>
      <c r="D155">
        <v>3.9</v>
      </c>
      <c r="E155">
        <v>3.6</v>
      </c>
      <c r="F155">
        <v>3.1</v>
      </c>
      <c r="G155">
        <v>3.4</v>
      </c>
      <c r="H155">
        <v>3</v>
      </c>
      <c r="I155">
        <v>3.1</v>
      </c>
      <c r="J155">
        <v>3.1</v>
      </c>
      <c r="K155">
        <v>3.1</v>
      </c>
      <c r="L155">
        <v>2.8</v>
      </c>
      <c r="M155">
        <v>2.6</v>
      </c>
      <c r="N155">
        <v>2.8</v>
      </c>
      <c r="O155">
        <v>2.9</v>
      </c>
      <c r="P155">
        <v>3</v>
      </c>
      <c r="Q155">
        <v>2.8</v>
      </c>
      <c r="R155">
        <v>2.8</v>
      </c>
      <c r="S155">
        <v>2.7</v>
      </c>
      <c r="U155">
        <f t="shared" si="2"/>
        <v>3.0437500000000002</v>
      </c>
    </row>
    <row r="156" spans="1:21" x14ac:dyDescent="0.45">
      <c r="A156" t="s">
        <v>302</v>
      </c>
      <c r="B156" t="s">
        <v>113</v>
      </c>
      <c r="C156">
        <v>53</v>
      </c>
      <c r="D156">
        <v>3.9</v>
      </c>
      <c r="E156">
        <v>3.6</v>
      </c>
      <c r="F156">
        <v>3.1</v>
      </c>
      <c r="G156">
        <v>3.4</v>
      </c>
      <c r="H156">
        <v>3</v>
      </c>
      <c r="I156">
        <v>3.1</v>
      </c>
      <c r="J156">
        <v>3.1</v>
      </c>
      <c r="K156">
        <v>3.1</v>
      </c>
      <c r="L156">
        <v>2.8</v>
      </c>
      <c r="M156">
        <v>2.6</v>
      </c>
      <c r="N156">
        <v>2.8</v>
      </c>
      <c r="O156">
        <v>2.9</v>
      </c>
      <c r="P156">
        <v>3</v>
      </c>
      <c r="Q156">
        <v>2.8</v>
      </c>
      <c r="R156">
        <v>2.8</v>
      </c>
      <c r="S156">
        <v>2.7</v>
      </c>
      <c r="U156">
        <f t="shared" si="2"/>
        <v>3.0437500000000002</v>
      </c>
    </row>
    <row r="157" spans="1:21" x14ac:dyDescent="0.45">
      <c r="A157" t="s">
        <v>302</v>
      </c>
      <c r="B157" t="s">
        <v>113</v>
      </c>
      <c r="C157">
        <v>54</v>
      </c>
      <c r="D157">
        <v>3.9</v>
      </c>
      <c r="E157">
        <v>3.6</v>
      </c>
      <c r="F157">
        <v>3.1</v>
      </c>
      <c r="G157">
        <v>3.4</v>
      </c>
      <c r="H157">
        <v>3</v>
      </c>
      <c r="I157">
        <v>3.1</v>
      </c>
      <c r="J157">
        <v>3.1</v>
      </c>
      <c r="K157">
        <v>3.1</v>
      </c>
      <c r="L157">
        <v>2.8</v>
      </c>
      <c r="M157">
        <v>2.6</v>
      </c>
      <c r="N157">
        <v>2.8</v>
      </c>
      <c r="O157">
        <v>2.9</v>
      </c>
      <c r="P157">
        <v>3</v>
      </c>
      <c r="Q157">
        <v>2.8</v>
      </c>
      <c r="R157">
        <v>2.8</v>
      </c>
      <c r="S157">
        <v>2.7</v>
      </c>
      <c r="U157">
        <f t="shared" si="2"/>
        <v>3.0437500000000002</v>
      </c>
    </row>
    <row r="158" spans="1:21" x14ac:dyDescent="0.45">
      <c r="A158" t="s">
        <v>302</v>
      </c>
      <c r="B158" t="s">
        <v>113</v>
      </c>
      <c r="C158">
        <v>55</v>
      </c>
      <c r="D158">
        <v>5.7</v>
      </c>
      <c r="E158">
        <v>5.9</v>
      </c>
      <c r="F158">
        <v>5.8</v>
      </c>
      <c r="G158">
        <v>5.7</v>
      </c>
      <c r="H158">
        <v>5.8</v>
      </c>
      <c r="I158">
        <v>5.4</v>
      </c>
      <c r="J158">
        <v>5.3</v>
      </c>
      <c r="K158">
        <v>4.8</v>
      </c>
      <c r="L158">
        <v>5</v>
      </c>
      <c r="M158">
        <v>4.5</v>
      </c>
      <c r="N158">
        <v>4.7</v>
      </c>
      <c r="O158">
        <v>5.0999999999999996</v>
      </c>
      <c r="P158">
        <v>4.5999999999999996</v>
      </c>
      <c r="Q158">
        <v>4.9000000000000004</v>
      </c>
      <c r="R158">
        <v>4.5</v>
      </c>
      <c r="S158">
        <v>4.4000000000000004</v>
      </c>
      <c r="U158">
        <f t="shared" si="2"/>
        <v>5.1312500000000005</v>
      </c>
    </row>
    <row r="159" spans="1:21" x14ac:dyDescent="0.45">
      <c r="A159" t="s">
        <v>302</v>
      </c>
      <c r="B159" t="s">
        <v>113</v>
      </c>
      <c r="C159">
        <v>56</v>
      </c>
      <c r="D159">
        <v>5.7</v>
      </c>
      <c r="E159">
        <v>5.9</v>
      </c>
      <c r="F159">
        <v>5.8</v>
      </c>
      <c r="G159">
        <v>5.7</v>
      </c>
      <c r="H159">
        <v>5.8</v>
      </c>
      <c r="I159">
        <v>5.4</v>
      </c>
      <c r="J159">
        <v>5.3</v>
      </c>
      <c r="K159">
        <v>4.8</v>
      </c>
      <c r="L159">
        <v>5</v>
      </c>
      <c r="M159">
        <v>4.5</v>
      </c>
      <c r="N159">
        <v>4.7</v>
      </c>
      <c r="O159">
        <v>5.0999999999999996</v>
      </c>
      <c r="P159">
        <v>4.5999999999999996</v>
      </c>
      <c r="Q159">
        <v>4.9000000000000004</v>
      </c>
      <c r="R159">
        <v>4.5</v>
      </c>
      <c r="S159">
        <v>4.4000000000000004</v>
      </c>
      <c r="U159">
        <f t="shared" si="2"/>
        <v>5.1312500000000005</v>
      </c>
    </row>
    <row r="160" spans="1:21" x14ac:dyDescent="0.45">
      <c r="A160" t="s">
        <v>302</v>
      </c>
      <c r="B160" t="s">
        <v>113</v>
      </c>
      <c r="C160">
        <v>57</v>
      </c>
      <c r="D160">
        <v>5.7</v>
      </c>
      <c r="E160">
        <v>5.9</v>
      </c>
      <c r="F160">
        <v>5.8</v>
      </c>
      <c r="G160">
        <v>5.7</v>
      </c>
      <c r="H160">
        <v>5.8</v>
      </c>
      <c r="I160">
        <v>5.4</v>
      </c>
      <c r="J160">
        <v>5.3</v>
      </c>
      <c r="K160">
        <v>4.8</v>
      </c>
      <c r="L160">
        <v>5</v>
      </c>
      <c r="M160">
        <v>4.5</v>
      </c>
      <c r="N160">
        <v>4.7</v>
      </c>
      <c r="O160">
        <v>5.0999999999999996</v>
      </c>
      <c r="P160">
        <v>4.5999999999999996</v>
      </c>
      <c r="Q160">
        <v>4.9000000000000004</v>
      </c>
      <c r="R160">
        <v>4.5</v>
      </c>
      <c r="S160">
        <v>4.4000000000000004</v>
      </c>
      <c r="U160">
        <f t="shared" si="2"/>
        <v>5.1312500000000005</v>
      </c>
    </row>
    <row r="161" spans="1:21" x14ac:dyDescent="0.45">
      <c r="A161" t="s">
        <v>302</v>
      </c>
      <c r="B161" t="s">
        <v>113</v>
      </c>
      <c r="C161">
        <v>58</v>
      </c>
      <c r="D161">
        <v>5.7</v>
      </c>
      <c r="E161">
        <v>5.9</v>
      </c>
      <c r="F161">
        <v>5.8</v>
      </c>
      <c r="G161">
        <v>5.7</v>
      </c>
      <c r="H161">
        <v>5.8</v>
      </c>
      <c r="I161">
        <v>5.4</v>
      </c>
      <c r="J161">
        <v>5.3</v>
      </c>
      <c r="K161">
        <v>4.8</v>
      </c>
      <c r="L161">
        <v>5</v>
      </c>
      <c r="M161">
        <v>4.5</v>
      </c>
      <c r="N161">
        <v>4.7</v>
      </c>
      <c r="O161">
        <v>5.0999999999999996</v>
      </c>
      <c r="P161">
        <v>4.5999999999999996</v>
      </c>
      <c r="Q161">
        <v>4.9000000000000004</v>
      </c>
      <c r="R161">
        <v>4.5</v>
      </c>
      <c r="S161">
        <v>4.4000000000000004</v>
      </c>
      <c r="U161">
        <f t="shared" si="2"/>
        <v>5.1312500000000005</v>
      </c>
    </row>
    <row r="162" spans="1:21" x14ac:dyDescent="0.45">
      <c r="A162" t="s">
        <v>302</v>
      </c>
      <c r="B162" t="s">
        <v>113</v>
      </c>
      <c r="C162">
        <v>59</v>
      </c>
      <c r="D162">
        <v>5.7</v>
      </c>
      <c r="E162">
        <v>5.9</v>
      </c>
      <c r="F162">
        <v>5.8</v>
      </c>
      <c r="G162">
        <v>5.7</v>
      </c>
      <c r="H162">
        <v>5.8</v>
      </c>
      <c r="I162">
        <v>5.4</v>
      </c>
      <c r="J162">
        <v>5.3</v>
      </c>
      <c r="K162">
        <v>4.8</v>
      </c>
      <c r="L162">
        <v>5</v>
      </c>
      <c r="M162">
        <v>4.5</v>
      </c>
      <c r="N162">
        <v>4.7</v>
      </c>
      <c r="O162">
        <v>5.0999999999999996</v>
      </c>
      <c r="P162">
        <v>4.5999999999999996</v>
      </c>
      <c r="Q162">
        <v>4.9000000000000004</v>
      </c>
      <c r="R162">
        <v>4.5</v>
      </c>
      <c r="S162">
        <v>4.4000000000000004</v>
      </c>
      <c r="U162">
        <f t="shared" si="2"/>
        <v>5.1312500000000005</v>
      </c>
    </row>
    <row r="163" spans="1:21" x14ac:dyDescent="0.45">
      <c r="A163" t="s">
        <v>302</v>
      </c>
      <c r="B163" t="s">
        <v>113</v>
      </c>
      <c r="C163">
        <v>60</v>
      </c>
      <c r="D163">
        <v>9.4</v>
      </c>
      <c r="E163">
        <v>8.9</v>
      </c>
      <c r="F163">
        <v>9.6999999999999993</v>
      </c>
      <c r="G163">
        <v>8.8000000000000007</v>
      </c>
      <c r="H163">
        <v>8.4</v>
      </c>
      <c r="I163">
        <v>8.5</v>
      </c>
      <c r="J163">
        <v>8.1999999999999993</v>
      </c>
      <c r="K163">
        <v>8.1999999999999993</v>
      </c>
      <c r="L163">
        <v>8.1999999999999993</v>
      </c>
      <c r="M163">
        <v>7.7</v>
      </c>
      <c r="N163">
        <v>7.9</v>
      </c>
      <c r="O163">
        <v>8.6</v>
      </c>
      <c r="P163">
        <v>8.1</v>
      </c>
      <c r="Q163">
        <v>8.1</v>
      </c>
      <c r="R163">
        <v>7.5</v>
      </c>
      <c r="S163">
        <v>7.3</v>
      </c>
      <c r="U163">
        <f t="shared" si="2"/>
        <v>8.34375</v>
      </c>
    </row>
    <row r="164" spans="1:21" x14ac:dyDescent="0.45">
      <c r="A164" t="s">
        <v>302</v>
      </c>
      <c r="B164" t="s">
        <v>113</v>
      </c>
      <c r="C164">
        <v>61</v>
      </c>
      <c r="D164">
        <v>9.4</v>
      </c>
      <c r="E164">
        <v>8.9</v>
      </c>
      <c r="F164">
        <v>9.6999999999999993</v>
      </c>
      <c r="G164">
        <v>8.8000000000000007</v>
      </c>
      <c r="H164">
        <v>8.4</v>
      </c>
      <c r="I164">
        <v>8.5</v>
      </c>
      <c r="J164">
        <v>8.1999999999999993</v>
      </c>
      <c r="K164">
        <v>8.1999999999999993</v>
      </c>
      <c r="L164">
        <v>8.1999999999999993</v>
      </c>
      <c r="M164">
        <v>7.7</v>
      </c>
      <c r="N164">
        <v>7.9</v>
      </c>
      <c r="O164">
        <v>8.6</v>
      </c>
      <c r="P164">
        <v>8.1</v>
      </c>
      <c r="Q164">
        <v>8.1</v>
      </c>
      <c r="R164">
        <v>7.5</v>
      </c>
      <c r="S164">
        <v>7.3</v>
      </c>
      <c r="U164">
        <f t="shared" si="2"/>
        <v>8.34375</v>
      </c>
    </row>
    <row r="165" spans="1:21" x14ac:dyDescent="0.45">
      <c r="A165" t="s">
        <v>302</v>
      </c>
      <c r="B165" t="s">
        <v>113</v>
      </c>
      <c r="C165">
        <v>62</v>
      </c>
      <c r="D165">
        <v>9.4</v>
      </c>
      <c r="E165">
        <v>8.9</v>
      </c>
      <c r="F165">
        <v>9.6999999999999993</v>
      </c>
      <c r="G165">
        <v>8.8000000000000007</v>
      </c>
      <c r="H165">
        <v>8.4</v>
      </c>
      <c r="I165">
        <v>8.5</v>
      </c>
      <c r="J165">
        <v>8.1999999999999993</v>
      </c>
      <c r="K165">
        <v>8.1999999999999993</v>
      </c>
      <c r="L165">
        <v>8.1999999999999993</v>
      </c>
      <c r="M165">
        <v>7.7</v>
      </c>
      <c r="N165">
        <v>7.9</v>
      </c>
      <c r="O165">
        <v>8.6</v>
      </c>
      <c r="P165">
        <v>8.1</v>
      </c>
      <c r="Q165">
        <v>8.1</v>
      </c>
      <c r="R165">
        <v>7.5</v>
      </c>
      <c r="S165">
        <v>7.3</v>
      </c>
      <c r="U165">
        <f t="shared" si="2"/>
        <v>8.34375</v>
      </c>
    </row>
    <row r="166" spans="1:21" x14ac:dyDescent="0.45">
      <c r="A166" t="s">
        <v>302</v>
      </c>
      <c r="B166" t="s">
        <v>113</v>
      </c>
      <c r="C166">
        <v>63</v>
      </c>
      <c r="D166">
        <v>9.4</v>
      </c>
      <c r="E166">
        <v>8.9</v>
      </c>
      <c r="F166">
        <v>9.6999999999999993</v>
      </c>
      <c r="G166">
        <v>8.8000000000000007</v>
      </c>
      <c r="H166">
        <v>8.4</v>
      </c>
      <c r="I166">
        <v>8.5</v>
      </c>
      <c r="J166">
        <v>8.1999999999999993</v>
      </c>
      <c r="K166">
        <v>8.1999999999999993</v>
      </c>
      <c r="L166">
        <v>8.1999999999999993</v>
      </c>
      <c r="M166">
        <v>7.7</v>
      </c>
      <c r="N166">
        <v>7.9</v>
      </c>
      <c r="O166">
        <v>8.6</v>
      </c>
      <c r="P166">
        <v>8.1</v>
      </c>
      <c r="Q166">
        <v>8.1</v>
      </c>
      <c r="R166">
        <v>7.5</v>
      </c>
      <c r="S166">
        <v>7.3</v>
      </c>
      <c r="U166">
        <f t="shared" si="2"/>
        <v>8.34375</v>
      </c>
    </row>
    <row r="167" spans="1:21" x14ac:dyDescent="0.45">
      <c r="A167" t="s">
        <v>302</v>
      </c>
      <c r="B167" t="s">
        <v>113</v>
      </c>
      <c r="C167">
        <v>64</v>
      </c>
      <c r="D167">
        <v>9.4</v>
      </c>
      <c r="E167">
        <v>8.9</v>
      </c>
      <c r="F167">
        <v>9.6999999999999993</v>
      </c>
      <c r="G167">
        <v>8.8000000000000007</v>
      </c>
      <c r="H167">
        <v>8.4</v>
      </c>
      <c r="I167">
        <v>8.5</v>
      </c>
      <c r="J167">
        <v>8.1999999999999993</v>
      </c>
      <c r="K167">
        <v>8.1999999999999993</v>
      </c>
      <c r="L167">
        <v>8.1999999999999993</v>
      </c>
      <c r="M167">
        <v>7.7</v>
      </c>
      <c r="N167">
        <v>7.9</v>
      </c>
      <c r="O167">
        <v>8.6</v>
      </c>
      <c r="P167">
        <v>8.1</v>
      </c>
      <c r="Q167">
        <v>8.1</v>
      </c>
      <c r="R167">
        <v>7.5</v>
      </c>
      <c r="S167">
        <v>7.3</v>
      </c>
      <c r="U167">
        <f t="shared" si="2"/>
        <v>8.34375</v>
      </c>
    </row>
    <row r="168" spans="1:21" x14ac:dyDescent="0.45">
      <c r="A168" t="s">
        <v>302</v>
      </c>
      <c r="B168" t="s">
        <v>113</v>
      </c>
      <c r="C168">
        <v>65</v>
      </c>
      <c r="D168">
        <v>16.600000000000001</v>
      </c>
      <c r="E168">
        <v>16.399999999999999</v>
      </c>
      <c r="F168">
        <v>15.2</v>
      </c>
      <c r="G168">
        <v>14.5</v>
      </c>
      <c r="H168">
        <v>13.8</v>
      </c>
      <c r="I168">
        <v>13.9</v>
      </c>
      <c r="J168">
        <v>13.3</v>
      </c>
      <c r="K168">
        <v>12.9</v>
      </c>
      <c r="L168">
        <v>12.5</v>
      </c>
      <c r="M168">
        <v>11.9</v>
      </c>
      <c r="N168">
        <v>12</v>
      </c>
      <c r="O168">
        <v>12.6</v>
      </c>
      <c r="P168">
        <v>13.2</v>
      </c>
      <c r="Q168">
        <v>13.5</v>
      </c>
      <c r="R168">
        <v>12.6</v>
      </c>
      <c r="S168">
        <v>12.2</v>
      </c>
      <c r="U168">
        <f t="shared" si="2"/>
        <v>13.56875</v>
      </c>
    </row>
    <row r="169" spans="1:21" x14ac:dyDescent="0.45">
      <c r="A169" t="s">
        <v>302</v>
      </c>
      <c r="B169" t="s">
        <v>113</v>
      </c>
      <c r="C169">
        <v>66</v>
      </c>
      <c r="D169">
        <v>16.600000000000001</v>
      </c>
      <c r="E169">
        <v>16.399999999999999</v>
      </c>
      <c r="F169">
        <v>15.2</v>
      </c>
      <c r="G169">
        <v>14.5</v>
      </c>
      <c r="H169">
        <v>13.8</v>
      </c>
      <c r="I169">
        <v>13.9</v>
      </c>
      <c r="J169">
        <v>13.3</v>
      </c>
      <c r="K169">
        <v>12.9</v>
      </c>
      <c r="L169">
        <v>12.5</v>
      </c>
      <c r="M169">
        <v>11.9</v>
      </c>
      <c r="N169">
        <v>12</v>
      </c>
      <c r="O169">
        <v>12.6</v>
      </c>
      <c r="P169">
        <v>13.2</v>
      </c>
      <c r="Q169">
        <v>13.5</v>
      </c>
      <c r="R169">
        <v>12.6</v>
      </c>
      <c r="S169">
        <v>12.2</v>
      </c>
      <c r="U169">
        <f t="shared" si="2"/>
        <v>13.56875</v>
      </c>
    </row>
    <row r="170" spans="1:21" x14ac:dyDescent="0.45">
      <c r="A170" t="s">
        <v>302</v>
      </c>
      <c r="B170" t="s">
        <v>113</v>
      </c>
      <c r="C170">
        <v>67</v>
      </c>
      <c r="D170">
        <v>16.600000000000001</v>
      </c>
      <c r="E170">
        <v>16.399999999999999</v>
      </c>
      <c r="F170">
        <v>15.2</v>
      </c>
      <c r="G170">
        <v>14.5</v>
      </c>
      <c r="H170">
        <v>13.8</v>
      </c>
      <c r="I170">
        <v>13.9</v>
      </c>
      <c r="J170">
        <v>13.3</v>
      </c>
      <c r="K170">
        <v>12.9</v>
      </c>
      <c r="L170">
        <v>12.5</v>
      </c>
      <c r="M170">
        <v>11.9</v>
      </c>
      <c r="N170">
        <v>12</v>
      </c>
      <c r="O170">
        <v>12.6</v>
      </c>
      <c r="P170">
        <v>13.2</v>
      </c>
      <c r="Q170">
        <v>13.5</v>
      </c>
      <c r="R170">
        <v>12.6</v>
      </c>
      <c r="S170">
        <v>12.2</v>
      </c>
      <c r="U170">
        <f t="shared" si="2"/>
        <v>13.56875</v>
      </c>
    </row>
    <row r="171" spans="1:21" x14ac:dyDescent="0.45">
      <c r="A171" t="s">
        <v>302</v>
      </c>
      <c r="B171" t="s">
        <v>113</v>
      </c>
      <c r="C171">
        <v>68</v>
      </c>
      <c r="D171">
        <v>16.600000000000001</v>
      </c>
      <c r="E171">
        <v>16.399999999999999</v>
      </c>
      <c r="F171">
        <v>15.2</v>
      </c>
      <c r="G171">
        <v>14.5</v>
      </c>
      <c r="H171">
        <v>13.8</v>
      </c>
      <c r="I171">
        <v>13.9</v>
      </c>
      <c r="J171">
        <v>13.3</v>
      </c>
      <c r="K171">
        <v>12.9</v>
      </c>
      <c r="L171">
        <v>12.5</v>
      </c>
      <c r="M171">
        <v>11.9</v>
      </c>
      <c r="N171">
        <v>12</v>
      </c>
      <c r="O171">
        <v>12.6</v>
      </c>
      <c r="P171">
        <v>13.2</v>
      </c>
      <c r="Q171">
        <v>13.5</v>
      </c>
      <c r="R171">
        <v>12.6</v>
      </c>
      <c r="S171">
        <v>12.2</v>
      </c>
      <c r="U171">
        <f t="shared" si="2"/>
        <v>13.56875</v>
      </c>
    </row>
    <row r="172" spans="1:21" x14ac:dyDescent="0.45">
      <c r="A172" t="s">
        <v>302</v>
      </c>
      <c r="B172" t="s">
        <v>113</v>
      </c>
      <c r="C172">
        <v>69</v>
      </c>
      <c r="D172">
        <v>16.600000000000001</v>
      </c>
      <c r="E172">
        <v>16.399999999999999</v>
      </c>
      <c r="F172">
        <v>15.2</v>
      </c>
      <c r="G172">
        <v>14.5</v>
      </c>
      <c r="H172">
        <v>13.8</v>
      </c>
      <c r="I172">
        <v>13.9</v>
      </c>
      <c r="J172">
        <v>13.3</v>
      </c>
      <c r="K172">
        <v>12.9</v>
      </c>
      <c r="L172">
        <v>12.5</v>
      </c>
      <c r="M172">
        <v>11.9</v>
      </c>
      <c r="N172">
        <v>12</v>
      </c>
      <c r="O172">
        <v>12.6</v>
      </c>
      <c r="P172">
        <v>13.2</v>
      </c>
      <c r="Q172">
        <v>13.5</v>
      </c>
      <c r="R172">
        <v>12.6</v>
      </c>
      <c r="S172">
        <v>12.2</v>
      </c>
      <c r="U172">
        <f t="shared" si="2"/>
        <v>13.56875</v>
      </c>
    </row>
    <row r="173" spans="1:21" x14ac:dyDescent="0.45">
      <c r="A173" t="s">
        <v>302</v>
      </c>
      <c r="B173" t="s">
        <v>113</v>
      </c>
      <c r="C173">
        <v>70</v>
      </c>
      <c r="D173">
        <v>27.1</v>
      </c>
      <c r="E173">
        <v>26</v>
      </c>
      <c r="F173">
        <v>26.5</v>
      </c>
      <c r="G173">
        <v>26</v>
      </c>
      <c r="H173">
        <v>24.4</v>
      </c>
      <c r="I173">
        <v>23.9</v>
      </c>
      <c r="J173">
        <v>22.5</v>
      </c>
      <c r="K173">
        <v>22.9</v>
      </c>
      <c r="L173">
        <v>22.4</v>
      </c>
      <c r="M173">
        <v>20.2</v>
      </c>
      <c r="N173">
        <v>20.5</v>
      </c>
      <c r="O173">
        <v>21.4</v>
      </c>
      <c r="P173">
        <v>21.6</v>
      </c>
      <c r="Q173">
        <v>20.3</v>
      </c>
      <c r="R173">
        <v>19.3</v>
      </c>
      <c r="S173">
        <v>19.3</v>
      </c>
      <c r="U173">
        <f t="shared" si="2"/>
        <v>22.768750000000001</v>
      </c>
    </row>
    <row r="174" spans="1:21" x14ac:dyDescent="0.45">
      <c r="A174" t="s">
        <v>302</v>
      </c>
      <c r="B174" t="s">
        <v>113</v>
      </c>
      <c r="C174">
        <v>71</v>
      </c>
      <c r="D174">
        <v>27.1</v>
      </c>
      <c r="E174">
        <v>26</v>
      </c>
      <c r="F174">
        <v>26.5</v>
      </c>
      <c r="G174">
        <v>26</v>
      </c>
      <c r="H174">
        <v>24.4</v>
      </c>
      <c r="I174">
        <v>23.9</v>
      </c>
      <c r="J174">
        <v>22.5</v>
      </c>
      <c r="K174">
        <v>22.9</v>
      </c>
      <c r="L174">
        <v>22.4</v>
      </c>
      <c r="M174">
        <v>20.2</v>
      </c>
      <c r="N174">
        <v>20.5</v>
      </c>
      <c r="O174">
        <v>21.4</v>
      </c>
      <c r="P174">
        <v>21.6</v>
      </c>
      <c r="Q174">
        <v>20.3</v>
      </c>
      <c r="R174">
        <v>19.3</v>
      </c>
      <c r="S174">
        <v>19.3</v>
      </c>
      <c r="U174">
        <f t="shared" si="2"/>
        <v>22.768750000000001</v>
      </c>
    </row>
    <row r="175" spans="1:21" x14ac:dyDescent="0.45">
      <c r="A175" t="s">
        <v>302</v>
      </c>
      <c r="B175" t="s">
        <v>113</v>
      </c>
      <c r="C175">
        <v>72</v>
      </c>
      <c r="D175">
        <v>27.1</v>
      </c>
      <c r="E175">
        <v>26</v>
      </c>
      <c r="F175">
        <v>26.5</v>
      </c>
      <c r="G175">
        <v>26</v>
      </c>
      <c r="H175">
        <v>24.4</v>
      </c>
      <c r="I175">
        <v>23.9</v>
      </c>
      <c r="J175">
        <v>22.5</v>
      </c>
      <c r="K175">
        <v>22.9</v>
      </c>
      <c r="L175">
        <v>22.4</v>
      </c>
      <c r="M175">
        <v>20.2</v>
      </c>
      <c r="N175">
        <v>20.5</v>
      </c>
      <c r="O175">
        <v>21.4</v>
      </c>
      <c r="P175">
        <v>21.6</v>
      </c>
      <c r="Q175">
        <v>20.3</v>
      </c>
      <c r="R175">
        <v>19.3</v>
      </c>
      <c r="S175">
        <v>19.3</v>
      </c>
      <c r="U175">
        <f t="shared" si="2"/>
        <v>22.768750000000001</v>
      </c>
    </row>
    <row r="176" spans="1:21" x14ac:dyDescent="0.45">
      <c r="A176" t="s">
        <v>302</v>
      </c>
      <c r="B176" t="s">
        <v>113</v>
      </c>
      <c r="C176">
        <v>73</v>
      </c>
      <c r="D176">
        <v>27.1</v>
      </c>
      <c r="E176">
        <v>26</v>
      </c>
      <c r="F176">
        <v>26.5</v>
      </c>
      <c r="G176">
        <v>26</v>
      </c>
      <c r="H176">
        <v>24.4</v>
      </c>
      <c r="I176">
        <v>23.9</v>
      </c>
      <c r="J176">
        <v>22.5</v>
      </c>
      <c r="K176">
        <v>22.9</v>
      </c>
      <c r="L176">
        <v>22.4</v>
      </c>
      <c r="M176">
        <v>20.2</v>
      </c>
      <c r="N176">
        <v>20.5</v>
      </c>
      <c r="O176">
        <v>21.4</v>
      </c>
      <c r="P176">
        <v>21.6</v>
      </c>
      <c r="Q176">
        <v>20.3</v>
      </c>
      <c r="R176">
        <v>19.3</v>
      </c>
      <c r="S176">
        <v>19.3</v>
      </c>
      <c r="U176">
        <f t="shared" si="2"/>
        <v>22.768750000000001</v>
      </c>
    </row>
    <row r="177" spans="1:21" x14ac:dyDescent="0.45">
      <c r="A177" t="s">
        <v>302</v>
      </c>
      <c r="B177" t="s">
        <v>113</v>
      </c>
      <c r="C177">
        <v>74</v>
      </c>
      <c r="D177">
        <v>27.1</v>
      </c>
      <c r="E177">
        <v>26</v>
      </c>
      <c r="F177">
        <v>26.5</v>
      </c>
      <c r="G177">
        <v>26</v>
      </c>
      <c r="H177">
        <v>24.4</v>
      </c>
      <c r="I177">
        <v>23.9</v>
      </c>
      <c r="J177">
        <v>22.5</v>
      </c>
      <c r="K177">
        <v>22.9</v>
      </c>
      <c r="L177">
        <v>22.4</v>
      </c>
      <c r="M177">
        <v>20.2</v>
      </c>
      <c r="N177">
        <v>20.5</v>
      </c>
      <c r="O177">
        <v>21.4</v>
      </c>
      <c r="P177">
        <v>21.6</v>
      </c>
      <c r="Q177">
        <v>20.3</v>
      </c>
      <c r="R177">
        <v>19.3</v>
      </c>
      <c r="S177">
        <v>19.3</v>
      </c>
      <c r="U177">
        <f t="shared" si="2"/>
        <v>22.768750000000001</v>
      </c>
    </row>
    <row r="178" spans="1:21" x14ac:dyDescent="0.45">
      <c r="A178" t="s">
        <v>302</v>
      </c>
      <c r="B178" t="s">
        <v>113</v>
      </c>
      <c r="C178">
        <v>75</v>
      </c>
      <c r="D178">
        <v>45.2</v>
      </c>
      <c r="E178">
        <v>47.2</v>
      </c>
      <c r="F178">
        <v>42.3</v>
      </c>
      <c r="G178">
        <v>43.3</v>
      </c>
      <c r="H178">
        <v>41</v>
      </c>
      <c r="I178">
        <v>41</v>
      </c>
      <c r="J178">
        <v>38.4</v>
      </c>
      <c r="K178">
        <v>37.4</v>
      </c>
      <c r="L178">
        <v>35.9</v>
      </c>
      <c r="M178">
        <v>35.299999999999997</v>
      </c>
      <c r="N178">
        <v>35.5</v>
      </c>
      <c r="O178">
        <v>36</v>
      </c>
      <c r="P178">
        <v>36.9</v>
      </c>
      <c r="Q178">
        <v>35.6</v>
      </c>
      <c r="R178">
        <v>32.299999999999997</v>
      </c>
      <c r="S178">
        <v>32.200000000000003</v>
      </c>
      <c r="U178">
        <f t="shared" si="2"/>
        <v>38.46875</v>
      </c>
    </row>
    <row r="179" spans="1:21" x14ac:dyDescent="0.45">
      <c r="A179" t="s">
        <v>302</v>
      </c>
      <c r="B179" t="s">
        <v>113</v>
      </c>
      <c r="C179">
        <v>76</v>
      </c>
      <c r="D179">
        <v>45.2</v>
      </c>
      <c r="E179">
        <v>47.2</v>
      </c>
      <c r="F179">
        <v>42.3</v>
      </c>
      <c r="G179">
        <v>43.3</v>
      </c>
      <c r="H179">
        <v>41</v>
      </c>
      <c r="I179">
        <v>41</v>
      </c>
      <c r="J179">
        <v>38.4</v>
      </c>
      <c r="K179">
        <v>37.4</v>
      </c>
      <c r="L179">
        <v>35.9</v>
      </c>
      <c r="M179">
        <v>35.299999999999997</v>
      </c>
      <c r="N179">
        <v>35.5</v>
      </c>
      <c r="O179">
        <v>36</v>
      </c>
      <c r="P179">
        <v>36.9</v>
      </c>
      <c r="Q179">
        <v>35.6</v>
      </c>
      <c r="R179">
        <v>32.299999999999997</v>
      </c>
      <c r="S179">
        <v>32.200000000000003</v>
      </c>
      <c r="U179">
        <f t="shared" si="2"/>
        <v>38.46875</v>
      </c>
    </row>
    <row r="180" spans="1:21" x14ac:dyDescent="0.45">
      <c r="A180" t="s">
        <v>302</v>
      </c>
      <c r="B180" t="s">
        <v>113</v>
      </c>
      <c r="C180">
        <v>77</v>
      </c>
      <c r="D180">
        <v>45.2</v>
      </c>
      <c r="E180">
        <v>47.2</v>
      </c>
      <c r="F180">
        <v>42.3</v>
      </c>
      <c r="G180">
        <v>43.3</v>
      </c>
      <c r="H180">
        <v>41</v>
      </c>
      <c r="I180">
        <v>41</v>
      </c>
      <c r="J180">
        <v>38.4</v>
      </c>
      <c r="K180">
        <v>37.4</v>
      </c>
      <c r="L180">
        <v>35.9</v>
      </c>
      <c r="M180">
        <v>35.299999999999997</v>
      </c>
      <c r="N180">
        <v>35.5</v>
      </c>
      <c r="O180">
        <v>36</v>
      </c>
      <c r="P180">
        <v>36.9</v>
      </c>
      <c r="Q180">
        <v>35.6</v>
      </c>
      <c r="R180">
        <v>32.299999999999997</v>
      </c>
      <c r="S180">
        <v>32.200000000000003</v>
      </c>
      <c r="U180">
        <f t="shared" si="2"/>
        <v>38.46875</v>
      </c>
    </row>
    <row r="181" spans="1:21" x14ac:dyDescent="0.45">
      <c r="A181" t="s">
        <v>302</v>
      </c>
      <c r="B181" t="s">
        <v>113</v>
      </c>
      <c r="C181">
        <v>78</v>
      </c>
      <c r="D181">
        <v>45.2</v>
      </c>
      <c r="E181">
        <v>47.2</v>
      </c>
      <c r="F181">
        <v>42.3</v>
      </c>
      <c r="G181">
        <v>43.3</v>
      </c>
      <c r="H181">
        <v>41</v>
      </c>
      <c r="I181">
        <v>41</v>
      </c>
      <c r="J181">
        <v>38.4</v>
      </c>
      <c r="K181">
        <v>37.4</v>
      </c>
      <c r="L181">
        <v>35.9</v>
      </c>
      <c r="M181">
        <v>35.299999999999997</v>
      </c>
      <c r="N181">
        <v>35.5</v>
      </c>
      <c r="O181">
        <v>36</v>
      </c>
      <c r="P181">
        <v>36.9</v>
      </c>
      <c r="Q181">
        <v>35.6</v>
      </c>
      <c r="R181">
        <v>32.299999999999997</v>
      </c>
      <c r="S181">
        <v>32.200000000000003</v>
      </c>
      <c r="U181">
        <f t="shared" si="2"/>
        <v>38.46875</v>
      </c>
    </row>
    <row r="182" spans="1:21" x14ac:dyDescent="0.45">
      <c r="A182" t="s">
        <v>302</v>
      </c>
      <c r="B182" t="s">
        <v>113</v>
      </c>
      <c r="C182">
        <v>79</v>
      </c>
      <c r="D182">
        <v>45.2</v>
      </c>
      <c r="E182">
        <v>47.2</v>
      </c>
      <c r="F182">
        <v>42.3</v>
      </c>
      <c r="G182">
        <v>43.3</v>
      </c>
      <c r="H182">
        <v>41</v>
      </c>
      <c r="I182">
        <v>41</v>
      </c>
      <c r="J182">
        <v>38.4</v>
      </c>
      <c r="K182">
        <v>37.4</v>
      </c>
      <c r="L182">
        <v>35.9</v>
      </c>
      <c r="M182">
        <v>35.299999999999997</v>
      </c>
      <c r="N182">
        <v>35.5</v>
      </c>
      <c r="O182">
        <v>36</v>
      </c>
      <c r="P182">
        <v>36.9</v>
      </c>
      <c r="Q182">
        <v>35.6</v>
      </c>
      <c r="R182">
        <v>32.299999999999997</v>
      </c>
      <c r="S182">
        <v>32.200000000000003</v>
      </c>
      <c r="U182">
        <f t="shared" si="2"/>
        <v>38.46875</v>
      </c>
    </row>
    <row r="183" spans="1:21" x14ac:dyDescent="0.45">
      <c r="A183" t="s">
        <v>302</v>
      </c>
      <c r="B183" t="s">
        <v>113</v>
      </c>
      <c r="C183">
        <v>80</v>
      </c>
      <c r="D183">
        <v>76.400000000000006</v>
      </c>
      <c r="E183">
        <v>71.3</v>
      </c>
      <c r="F183">
        <v>69.900000000000006</v>
      </c>
      <c r="G183">
        <v>68.2</v>
      </c>
      <c r="H183">
        <v>70.599999999999994</v>
      </c>
      <c r="I183">
        <v>63.7</v>
      </c>
      <c r="J183">
        <v>66.599999999999994</v>
      </c>
      <c r="K183">
        <v>65.5</v>
      </c>
      <c r="L183">
        <v>62.8</v>
      </c>
      <c r="M183">
        <v>63.5</v>
      </c>
      <c r="N183">
        <v>64</v>
      </c>
      <c r="O183">
        <v>63.7</v>
      </c>
      <c r="P183">
        <v>69.2</v>
      </c>
      <c r="Q183">
        <v>66.7</v>
      </c>
      <c r="R183">
        <v>62.1</v>
      </c>
      <c r="S183">
        <v>57.9</v>
      </c>
      <c r="U183">
        <f t="shared" si="2"/>
        <v>66.381250000000009</v>
      </c>
    </row>
    <row r="184" spans="1:21" x14ac:dyDescent="0.45">
      <c r="A184" t="s">
        <v>302</v>
      </c>
      <c r="B184" t="s">
        <v>113</v>
      </c>
      <c r="C184">
        <v>81</v>
      </c>
      <c r="D184">
        <v>76.400000000000006</v>
      </c>
      <c r="E184">
        <v>71.3</v>
      </c>
      <c r="F184">
        <v>69.900000000000006</v>
      </c>
      <c r="G184">
        <v>68.2</v>
      </c>
      <c r="H184">
        <v>70.599999999999994</v>
      </c>
      <c r="I184">
        <v>63.7</v>
      </c>
      <c r="J184">
        <v>66.599999999999994</v>
      </c>
      <c r="K184">
        <v>65.5</v>
      </c>
      <c r="L184">
        <v>62.8</v>
      </c>
      <c r="M184">
        <v>63.5</v>
      </c>
      <c r="N184">
        <v>64</v>
      </c>
      <c r="O184">
        <v>63.7</v>
      </c>
      <c r="P184">
        <v>69.2</v>
      </c>
      <c r="Q184">
        <v>66.7</v>
      </c>
      <c r="R184">
        <v>62.1</v>
      </c>
      <c r="S184">
        <v>57.9</v>
      </c>
      <c r="U184">
        <f t="shared" si="2"/>
        <v>66.381250000000009</v>
      </c>
    </row>
    <row r="185" spans="1:21" x14ac:dyDescent="0.45">
      <c r="A185" t="s">
        <v>302</v>
      </c>
      <c r="B185" t="s">
        <v>113</v>
      </c>
      <c r="C185">
        <v>82</v>
      </c>
      <c r="D185">
        <v>76.400000000000006</v>
      </c>
      <c r="E185">
        <v>71.3</v>
      </c>
      <c r="F185">
        <v>69.900000000000006</v>
      </c>
      <c r="G185">
        <v>68.2</v>
      </c>
      <c r="H185">
        <v>70.599999999999994</v>
      </c>
      <c r="I185">
        <v>63.7</v>
      </c>
      <c r="J185">
        <v>66.599999999999994</v>
      </c>
      <c r="K185">
        <v>65.5</v>
      </c>
      <c r="L185">
        <v>62.8</v>
      </c>
      <c r="M185">
        <v>63.5</v>
      </c>
      <c r="N185">
        <v>64</v>
      </c>
      <c r="O185">
        <v>63.7</v>
      </c>
      <c r="P185">
        <v>69.2</v>
      </c>
      <c r="Q185">
        <v>66.7</v>
      </c>
      <c r="R185">
        <v>62.1</v>
      </c>
      <c r="S185">
        <v>57.9</v>
      </c>
      <c r="U185">
        <f t="shared" si="2"/>
        <v>66.381250000000009</v>
      </c>
    </row>
    <row r="186" spans="1:21" x14ac:dyDescent="0.45">
      <c r="A186" t="s">
        <v>302</v>
      </c>
      <c r="B186" t="s">
        <v>113</v>
      </c>
      <c r="C186">
        <v>83</v>
      </c>
      <c r="D186">
        <v>76.400000000000006</v>
      </c>
      <c r="E186">
        <v>71.3</v>
      </c>
      <c r="F186">
        <v>69.900000000000006</v>
      </c>
      <c r="G186">
        <v>68.2</v>
      </c>
      <c r="H186">
        <v>70.599999999999994</v>
      </c>
      <c r="I186">
        <v>63.7</v>
      </c>
      <c r="J186">
        <v>66.599999999999994</v>
      </c>
      <c r="K186">
        <v>65.5</v>
      </c>
      <c r="L186">
        <v>62.8</v>
      </c>
      <c r="M186">
        <v>63.5</v>
      </c>
      <c r="N186">
        <v>64</v>
      </c>
      <c r="O186">
        <v>63.7</v>
      </c>
      <c r="P186">
        <v>69.2</v>
      </c>
      <c r="Q186">
        <v>66.7</v>
      </c>
      <c r="R186">
        <v>62.1</v>
      </c>
      <c r="S186">
        <v>57.9</v>
      </c>
      <c r="U186">
        <f t="shared" si="2"/>
        <v>66.381250000000009</v>
      </c>
    </row>
    <row r="187" spans="1:21" x14ac:dyDescent="0.45">
      <c r="A187" t="s">
        <v>302</v>
      </c>
      <c r="B187" t="s">
        <v>113</v>
      </c>
      <c r="C187">
        <v>84</v>
      </c>
      <c r="D187">
        <v>76.400000000000006</v>
      </c>
      <c r="E187">
        <v>71.3</v>
      </c>
      <c r="F187">
        <v>69.900000000000006</v>
      </c>
      <c r="G187">
        <v>68.2</v>
      </c>
      <c r="H187">
        <v>70.599999999999994</v>
      </c>
      <c r="I187">
        <v>63.7</v>
      </c>
      <c r="J187">
        <v>66.599999999999994</v>
      </c>
      <c r="K187">
        <v>65.5</v>
      </c>
      <c r="L187">
        <v>62.8</v>
      </c>
      <c r="M187">
        <v>63.5</v>
      </c>
      <c r="N187">
        <v>64</v>
      </c>
      <c r="O187">
        <v>63.7</v>
      </c>
      <c r="P187">
        <v>69.2</v>
      </c>
      <c r="Q187">
        <v>66.7</v>
      </c>
      <c r="R187">
        <v>62.1</v>
      </c>
      <c r="S187">
        <v>57.9</v>
      </c>
      <c r="U187">
        <f t="shared" si="2"/>
        <v>66.381250000000009</v>
      </c>
    </row>
    <row r="188" spans="1:21" x14ac:dyDescent="0.45">
      <c r="A188" t="s">
        <v>302</v>
      </c>
      <c r="B188" t="s">
        <v>113</v>
      </c>
      <c r="C188">
        <v>85</v>
      </c>
      <c r="D188">
        <v>120.9</v>
      </c>
      <c r="E188">
        <v>115.1</v>
      </c>
      <c r="F188">
        <v>114.8</v>
      </c>
      <c r="G188">
        <v>103.8</v>
      </c>
      <c r="H188">
        <v>111.3</v>
      </c>
      <c r="I188">
        <v>106.9</v>
      </c>
      <c r="J188">
        <v>109.8</v>
      </c>
      <c r="K188">
        <v>110.3</v>
      </c>
      <c r="L188">
        <v>102.9</v>
      </c>
      <c r="M188">
        <v>102.9</v>
      </c>
      <c r="N188">
        <v>108.2</v>
      </c>
      <c r="O188">
        <v>118</v>
      </c>
      <c r="P188">
        <v>124.5</v>
      </c>
      <c r="Q188">
        <v>114.7</v>
      </c>
      <c r="R188">
        <v>103.5</v>
      </c>
      <c r="S188">
        <v>100</v>
      </c>
      <c r="U188">
        <f t="shared" si="2"/>
        <v>110.47499999999999</v>
      </c>
    </row>
    <row r="189" spans="1:21" x14ac:dyDescent="0.45">
      <c r="A189" t="s">
        <v>302</v>
      </c>
      <c r="B189" t="s">
        <v>113</v>
      </c>
      <c r="C189">
        <v>86</v>
      </c>
      <c r="D189">
        <v>120.9</v>
      </c>
      <c r="E189">
        <v>115.1</v>
      </c>
      <c r="F189">
        <v>114.8</v>
      </c>
      <c r="G189">
        <v>103.8</v>
      </c>
      <c r="H189">
        <v>111.3</v>
      </c>
      <c r="I189">
        <v>106.9</v>
      </c>
      <c r="J189">
        <v>109.8</v>
      </c>
      <c r="K189">
        <v>110.3</v>
      </c>
      <c r="L189">
        <v>102.9</v>
      </c>
      <c r="M189">
        <v>102.9</v>
      </c>
      <c r="N189">
        <v>108.2</v>
      </c>
      <c r="O189">
        <v>118</v>
      </c>
      <c r="P189">
        <v>124.5</v>
      </c>
      <c r="Q189">
        <v>114.7</v>
      </c>
      <c r="R189">
        <v>103.5</v>
      </c>
      <c r="S189">
        <v>100</v>
      </c>
      <c r="U189">
        <f t="shared" si="2"/>
        <v>110.47499999999999</v>
      </c>
    </row>
    <row r="190" spans="1:21" x14ac:dyDescent="0.45">
      <c r="A190" t="s">
        <v>302</v>
      </c>
      <c r="B190" t="s">
        <v>113</v>
      </c>
      <c r="C190">
        <v>87</v>
      </c>
      <c r="D190">
        <v>120.9</v>
      </c>
      <c r="E190">
        <v>115.1</v>
      </c>
      <c r="F190">
        <v>114.8</v>
      </c>
      <c r="G190">
        <v>103.8</v>
      </c>
      <c r="H190">
        <v>111.3</v>
      </c>
      <c r="I190">
        <v>106.9</v>
      </c>
      <c r="J190">
        <v>109.8</v>
      </c>
      <c r="K190">
        <v>110.3</v>
      </c>
      <c r="L190">
        <v>102.9</v>
      </c>
      <c r="M190">
        <v>102.9</v>
      </c>
      <c r="N190">
        <v>108.2</v>
      </c>
      <c r="O190">
        <v>118</v>
      </c>
      <c r="P190">
        <v>124.5</v>
      </c>
      <c r="Q190">
        <v>114.7</v>
      </c>
      <c r="R190">
        <v>103.5</v>
      </c>
      <c r="S190">
        <v>100</v>
      </c>
      <c r="U190">
        <f t="shared" si="2"/>
        <v>110.47499999999999</v>
      </c>
    </row>
    <row r="191" spans="1:21" x14ac:dyDescent="0.45">
      <c r="A191" t="s">
        <v>302</v>
      </c>
      <c r="B191" t="s">
        <v>113</v>
      </c>
      <c r="C191">
        <v>88</v>
      </c>
      <c r="D191">
        <v>120.9</v>
      </c>
      <c r="E191">
        <v>115.1</v>
      </c>
      <c r="F191">
        <v>114.8</v>
      </c>
      <c r="G191">
        <v>103.8</v>
      </c>
      <c r="H191">
        <v>111.3</v>
      </c>
      <c r="I191">
        <v>106.9</v>
      </c>
      <c r="J191">
        <v>109.8</v>
      </c>
      <c r="K191">
        <v>110.3</v>
      </c>
      <c r="L191">
        <v>102.9</v>
      </c>
      <c r="M191">
        <v>102.9</v>
      </c>
      <c r="N191">
        <v>108.2</v>
      </c>
      <c r="O191">
        <v>118</v>
      </c>
      <c r="P191">
        <v>124.5</v>
      </c>
      <c r="Q191">
        <v>114.7</v>
      </c>
      <c r="R191">
        <v>103.5</v>
      </c>
      <c r="S191">
        <v>100</v>
      </c>
      <c r="U191">
        <f t="shared" si="2"/>
        <v>110.47499999999999</v>
      </c>
    </row>
    <row r="192" spans="1:21" x14ac:dyDescent="0.45">
      <c r="A192" t="s">
        <v>302</v>
      </c>
      <c r="B192" t="s">
        <v>113</v>
      </c>
      <c r="C192">
        <v>89</v>
      </c>
      <c r="D192">
        <v>120.9</v>
      </c>
      <c r="E192">
        <v>115.1</v>
      </c>
      <c r="F192">
        <v>114.8</v>
      </c>
      <c r="G192">
        <v>103.8</v>
      </c>
      <c r="H192">
        <v>111.3</v>
      </c>
      <c r="I192">
        <v>106.9</v>
      </c>
      <c r="J192">
        <v>109.8</v>
      </c>
      <c r="K192">
        <v>110.3</v>
      </c>
      <c r="L192">
        <v>102.9</v>
      </c>
      <c r="M192">
        <v>102.9</v>
      </c>
      <c r="N192">
        <v>108.2</v>
      </c>
      <c r="O192">
        <v>118</v>
      </c>
      <c r="P192">
        <v>124.5</v>
      </c>
      <c r="Q192">
        <v>114.7</v>
      </c>
      <c r="R192">
        <v>103.5</v>
      </c>
      <c r="S192">
        <v>100</v>
      </c>
      <c r="U192">
        <f t="shared" si="2"/>
        <v>110.47499999999999</v>
      </c>
    </row>
    <row r="193" spans="1:21" x14ac:dyDescent="0.45">
      <c r="A193" t="s">
        <v>302</v>
      </c>
      <c r="B193" t="s">
        <v>113</v>
      </c>
      <c r="C193">
        <v>90</v>
      </c>
      <c r="D193">
        <v>178.8</v>
      </c>
      <c r="E193">
        <v>163.1</v>
      </c>
      <c r="F193">
        <v>169.2</v>
      </c>
      <c r="G193">
        <v>189.2</v>
      </c>
      <c r="H193">
        <v>167.6</v>
      </c>
      <c r="I193">
        <v>165.4</v>
      </c>
      <c r="J193">
        <v>157</v>
      </c>
      <c r="K193">
        <v>170.3</v>
      </c>
      <c r="L193">
        <v>169.3</v>
      </c>
      <c r="M193">
        <v>163.9</v>
      </c>
      <c r="N193">
        <v>155.6</v>
      </c>
      <c r="O193">
        <v>187.4</v>
      </c>
      <c r="P193">
        <v>210.7</v>
      </c>
      <c r="Q193">
        <v>184.1</v>
      </c>
      <c r="R193">
        <v>178.5</v>
      </c>
      <c r="S193">
        <v>164.5</v>
      </c>
      <c r="U193">
        <f t="shared" si="2"/>
        <v>173.41249999999999</v>
      </c>
    </row>
    <row r="194" spans="1:21" x14ac:dyDescent="0.45">
      <c r="A194" t="s">
        <v>302</v>
      </c>
      <c r="B194" t="s">
        <v>113</v>
      </c>
      <c r="C194">
        <v>91</v>
      </c>
      <c r="D194">
        <v>178.8</v>
      </c>
      <c r="E194">
        <v>163.1</v>
      </c>
      <c r="F194">
        <v>169.2</v>
      </c>
      <c r="G194">
        <v>189.2</v>
      </c>
      <c r="H194">
        <v>167.6</v>
      </c>
      <c r="I194">
        <v>165.4</v>
      </c>
      <c r="J194">
        <v>157</v>
      </c>
      <c r="K194">
        <v>170.3</v>
      </c>
      <c r="L194">
        <v>169.3</v>
      </c>
      <c r="M194">
        <v>163.9</v>
      </c>
      <c r="N194">
        <v>155.6</v>
      </c>
      <c r="O194">
        <v>187.4</v>
      </c>
      <c r="P194">
        <v>210.7</v>
      </c>
      <c r="Q194">
        <v>184.1</v>
      </c>
      <c r="R194">
        <v>178.5</v>
      </c>
      <c r="S194">
        <v>164.5</v>
      </c>
      <c r="U194">
        <f t="shared" si="2"/>
        <v>173.41249999999999</v>
      </c>
    </row>
    <row r="195" spans="1:21" x14ac:dyDescent="0.45">
      <c r="A195" t="s">
        <v>302</v>
      </c>
      <c r="B195" t="s">
        <v>113</v>
      </c>
      <c r="C195">
        <v>92</v>
      </c>
      <c r="D195">
        <v>178.8</v>
      </c>
      <c r="E195">
        <v>163.1</v>
      </c>
      <c r="F195">
        <v>169.2</v>
      </c>
      <c r="G195">
        <v>189.2</v>
      </c>
      <c r="H195">
        <v>167.6</v>
      </c>
      <c r="I195">
        <v>165.4</v>
      </c>
      <c r="J195">
        <v>157</v>
      </c>
      <c r="K195">
        <v>170.3</v>
      </c>
      <c r="L195">
        <v>169.3</v>
      </c>
      <c r="M195">
        <v>163.9</v>
      </c>
      <c r="N195">
        <v>155.6</v>
      </c>
      <c r="O195">
        <v>187.4</v>
      </c>
      <c r="P195">
        <v>210.7</v>
      </c>
      <c r="Q195">
        <v>184.1</v>
      </c>
      <c r="R195">
        <v>178.5</v>
      </c>
      <c r="S195">
        <v>164.5</v>
      </c>
      <c r="U195">
        <f t="shared" ref="U195:U239" si="3">AVERAGE(D195:S195)</f>
        <v>173.41249999999999</v>
      </c>
    </row>
    <row r="196" spans="1:21" x14ac:dyDescent="0.45">
      <c r="A196" t="s">
        <v>302</v>
      </c>
      <c r="B196" t="s">
        <v>113</v>
      </c>
      <c r="C196">
        <v>93</v>
      </c>
      <c r="D196">
        <v>178.8</v>
      </c>
      <c r="E196">
        <v>163.1</v>
      </c>
      <c r="F196">
        <v>169.2</v>
      </c>
      <c r="G196">
        <v>189.2</v>
      </c>
      <c r="H196">
        <v>167.6</v>
      </c>
      <c r="I196">
        <v>165.4</v>
      </c>
      <c r="J196">
        <v>157</v>
      </c>
      <c r="K196">
        <v>170.3</v>
      </c>
      <c r="L196">
        <v>169.3</v>
      </c>
      <c r="M196">
        <v>163.9</v>
      </c>
      <c r="N196">
        <v>155.6</v>
      </c>
      <c r="O196">
        <v>187.4</v>
      </c>
      <c r="P196">
        <v>210.7</v>
      </c>
      <c r="Q196">
        <v>184.1</v>
      </c>
      <c r="R196">
        <v>178.5</v>
      </c>
      <c r="S196">
        <v>164.5</v>
      </c>
      <c r="U196">
        <f t="shared" si="3"/>
        <v>173.41249999999999</v>
      </c>
    </row>
    <row r="197" spans="1:21" x14ac:dyDescent="0.45">
      <c r="A197" t="s">
        <v>302</v>
      </c>
      <c r="B197" t="s">
        <v>113</v>
      </c>
      <c r="C197">
        <v>94</v>
      </c>
      <c r="D197">
        <v>178.8</v>
      </c>
      <c r="E197">
        <v>163.1</v>
      </c>
      <c r="F197">
        <v>169.2</v>
      </c>
      <c r="G197">
        <v>189.2</v>
      </c>
      <c r="H197">
        <v>167.6</v>
      </c>
      <c r="I197">
        <v>165.4</v>
      </c>
      <c r="J197">
        <v>157</v>
      </c>
      <c r="K197">
        <v>170.3</v>
      </c>
      <c r="L197">
        <v>169.3</v>
      </c>
      <c r="M197">
        <v>163.9</v>
      </c>
      <c r="N197">
        <v>155.6</v>
      </c>
      <c r="O197">
        <v>187.4</v>
      </c>
      <c r="P197">
        <v>210.7</v>
      </c>
      <c r="Q197">
        <v>184.1</v>
      </c>
      <c r="R197">
        <v>178.5</v>
      </c>
      <c r="S197">
        <v>164.5</v>
      </c>
      <c r="U197">
        <f t="shared" si="3"/>
        <v>173.41249999999999</v>
      </c>
    </row>
    <row r="198" spans="1:21" x14ac:dyDescent="0.45">
      <c r="A198" t="s">
        <v>302</v>
      </c>
      <c r="B198" t="s">
        <v>113</v>
      </c>
      <c r="C198">
        <v>95</v>
      </c>
      <c r="D198">
        <v>178.8</v>
      </c>
      <c r="E198">
        <v>163.1</v>
      </c>
      <c r="F198">
        <v>169.2</v>
      </c>
      <c r="G198">
        <v>189.2</v>
      </c>
      <c r="H198">
        <v>167.6</v>
      </c>
      <c r="I198">
        <v>165.4</v>
      </c>
      <c r="J198">
        <v>157</v>
      </c>
      <c r="K198">
        <v>170.3</v>
      </c>
      <c r="L198">
        <v>169.3</v>
      </c>
      <c r="M198">
        <v>163.9</v>
      </c>
      <c r="N198">
        <v>155.6</v>
      </c>
      <c r="O198">
        <v>187.4</v>
      </c>
      <c r="P198">
        <v>210.7</v>
      </c>
      <c r="Q198">
        <v>184.1</v>
      </c>
      <c r="R198">
        <v>178.5</v>
      </c>
      <c r="S198">
        <v>164.5</v>
      </c>
      <c r="U198">
        <f t="shared" si="3"/>
        <v>173.41249999999999</v>
      </c>
    </row>
    <row r="199" spans="1:21" x14ac:dyDescent="0.45">
      <c r="A199" t="s">
        <v>302</v>
      </c>
      <c r="B199" t="s">
        <v>113</v>
      </c>
      <c r="C199">
        <v>96</v>
      </c>
      <c r="D199">
        <v>178.8</v>
      </c>
      <c r="E199">
        <v>163.1</v>
      </c>
      <c r="F199">
        <v>169.2</v>
      </c>
      <c r="G199">
        <v>189.2</v>
      </c>
      <c r="H199">
        <v>167.6</v>
      </c>
      <c r="I199">
        <v>165.4</v>
      </c>
      <c r="J199">
        <v>157</v>
      </c>
      <c r="K199">
        <v>170.3</v>
      </c>
      <c r="L199">
        <v>169.3</v>
      </c>
      <c r="M199">
        <v>163.9</v>
      </c>
      <c r="N199">
        <v>155.6</v>
      </c>
      <c r="O199">
        <v>187.4</v>
      </c>
      <c r="P199">
        <v>210.7</v>
      </c>
      <c r="Q199">
        <v>184.1</v>
      </c>
      <c r="R199">
        <v>178.5</v>
      </c>
      <c r="S199">
        <v>164.5</v>
      </c>
      <c r="U199">
        <f t="shared" si="3"/>
        <v>173.41249999999999</v>
      </c>
    </row>
    <row r="200" spans="1:21" x14ac:dyDescent="0.45">
      <c r="A200" t="s">
        <v>302</v>
      </c>
      <c r="B200" t="s">
        <v>113</v>
      </c>
      <c r="C200">
        <v>97</v>
      </c>
      <c r="D200">
        <v>178.8</v>
      </c>
      <c r="E200">
        <v>163.1</v>
      </c>
      <c r="F200">
        <v>169.2</v>
      </c>
      <c r="G200">
        <v>189.2</v>
      </c>
      <c r="H200">
        <v>167.6</v>
      </c>
      <c r="I200">
        <v>165.4</v>
      </c>
      <c r="J200">
        <v>157</v>
      </c>
      <c r="K200">
        <v>170.3</v>
      </c>
      <c r="L200">
        <v>169.3</v>
      </c>
      <c r="M200">
        <v>163.9</v>
      </c>
      <c r="N200">
        <v>155.6</v>
      </c>
      <c r="O200">
        <v>187.4</v>
      </c>
      <c r="P200">
        <v>210.7</v>
      </c>
      <c r="Q200">
        <v>184.1</v>
      </c>
      <c r="R200">
        <v>178.5</v>
      </c>
      <c r="S200">
        <v>164.5</v>
      </c>
      <c r="U200">
        <f t="shared" si="3"/>
        <v>173.41249999999999</v>
      </c>
    </row>
    <row r="201" spans="1:21" x14ac:dyDescent="0.45">
      <c r="A201" t="s">
        <v>302</v>
      </c>
      <c r="B201" t="s">
        <v>113</v>
      </c>
      <c r="C201">
        <v>98</v>
      </c>
      <c r="D201">
        <v>178.8</v>
      </c>
      <c r="E201">
        <v>163.1</v>
      </c>
      <c r="F201">
        <v>169.2</v>
      </c>
      <c r="G201">
        <v>189.2</v>
      </c>
      <c r="H201">
        <v>167.6</v>
      </c>
      <c r="I201">
        <v>165.4</v>
      </c>
      <c r="J201">
        <v>157</v>
      </c>
      <c r="K201">
        <v>170.3</v>
      </c>
      <c r="L201">
        <v>169.3</v>
      </c>
      <c r="M201">
        <v>163.9</v>
      </c>
      <c r="N201">
        <v>155.6</v>
      </c>
      <c r="O201">
        <v>187.4</v>
      </c>
      <c r="P201">
        <v>210.7</v>
      </c>
      <c r="Q201">
        <v>184.1</v>
      </c>
      <c r="R201">
        <v>178.5</v>
      </c>
      <c r="S201">
        <v>164.5</v>
      </c>
      <c r="U201">
        <f t="shared" si="3"/>
        <v>173.41249999999999</v>
      </c>
    </row>
    <row r="202" spans="1:21" x14ac:dyDescent="0.45">
      <c r="A202" t="s">
        <v>302</v>
      </c>
      <c r="B202" t="s">
        <v>113</v>
      </c>
      <c r="C202">
        <v>99</v>
      </c>
      <c r="D202">
        <v>178.8</v>
      </c>
      <c r="E202">
        <v>163.1</v>
      </c>
      <c r="F202">
        <v>169.2</v>
      </c>
      <c r="G202">
        <v>189.2</v>
      </c>
      <c r="H202">
        <v>167.6</v>
      </c>
      <c r="I202">
        <v>165.4</v>
      </c>
      <c r="J202">
        <v>157</v>
      </c>
      <c r="K202">
        <v>170.3</v>
      </c>
      <c r="L202">
        <v>169.3</v>
      </c>
      <c r="M202">
        <v>163.9</v>
      </c>
      <c r="N202">
        <v>155.6</v>
      </c>
      <c r="O202">
        <v>187.4</v>
      </c>
      <c r="P202">
        <v>210.7</v>
      </c>
      <c r="Q202">
        <v>184.1</v>
      </c>
      <c r="R202">
        <v>178.5</v>
      </c>
      <c r="S202">
        <v>164.5</v>
      </c>
      <c r="U202">
        <f t="shared" si="3"/>
        <v>173.41249999999999</v>
      </c>
    </row>
    <row r="203" spans="1:21" x14ac:dyDescent="0.45">
      <c r="A203" t="s">
        <v>302</v>
      </c>
      <c r="B203" t="s">
        <v>113</v>
      </c>
      <c r="C203">
        <v>100</v>
      </c>
      <c r="D203">
        <v>178.8</v>
      </c>
      <c r="E203">
        <v>163.1</v>
      </c>
      <c r="F203">
        <v>169.2</v>
      </c>
      <c r="G203">
        <v>189.2</v>
      </c>
      <c r="H203">
        <v>167.6</v>
      </c>
      <c r="I203">
        <v>165.4</v>
      </c>
      <c r="J203">
        <v>157</v>
      </c>
      <c r="K203">
        <v>170.3</v>
      </c>
      <c r="L203">
        <v>169.3</v>
      </c>
      <c r="M203">
        <v>163.9</v>
      </c>
      <c r="N203">
        <v>155.6</v>
      </c>
      <c r="O203">
        <v>187.4</v>
      </c>
      <c r="P203">
        <v>210.7</v>
      </c>
      <c r="Q203">
        <v>184.1</v>
      </c>
      <c r="R203">
        <v>178.5</v>
      </c>
      <c r="S203">
        <v>164.5</v>
      </c>
      <c r="U203">
        <f t="shared" si="3"/>
        <v>173.41249999999999</v>
      </c>
    </row>
    <row r="204" spans="1:21" x14ac:dyDescent="0.45">
      <c r="A204" t="s">
        <v>304</v>
      </c>
      <c r="B204" t="s">
        <v>170</v>
      </c>
      <c r="C204" t="s">
        <v>303</v>
      </c>
      <c r="D204">
        <v>35129</v>
      </c>
      <c r="E204">
        <v>36178</v>
      </c>
      <c r="F204">
        <v>38641</v>
      </c>
      <c r="G204">
        <v>35681</v>
      </c>
      <c r="H204">
        <v>37967</v>
      </c>
      <c r="I204">
        <v>37861</v>
      </c>
      <c r="J204">
        <v>36875</v>
      </c>
      <c r="K204">
        <v>35444</v>
      </c>
      <c r="L204">
        <v>35040</v>
      </c>
      <c r="M204">
        <v>35330</v>
      </c>
      <c r="N204">
        <v>34233</v>
      </c>
      <c r="O204">
        <v>34183</v>
      </c>
      <c r="P204">
        <v>32290</v>
      </c>
      <c r="Q204">
        <v>30518</v>
      </c>
      <c r="R204">
        <v>30808</v>
      </c>
      <c r="S204" t="s">
        <v>303</v>
      </c>
    </row>
    <row r="205" spans="1:21" x14ac:dyDescent="0.45">
      <c r="A205" t="s">
        <v>305</v>
      </c>
      <c r="B205" t="s">
        <v>114</v>
      </c>
      <c r="C205">
        <v>15</v>
      </c>
      <c r="D205">
        <v>4.8</v>
      </c>
      <c r="E205">
        <v>4.7</v>
      </c>
      <c r="F205">
        <v>4.3</v>
      </c>
      <c r="G205">
        <v>3.8</v>
      </c>
      <c r="H205">
        <v>3.3</v>
      </c>
      <c r="I205">
        <v>2.7</v>
      </c>
      <c r="J205">
        <v>2.7</v>
      </c>
      <c r="K205">
        <v>2.6</v>
      </c>
      <c r="L205">
        <v>2.5</v>
      </c>
      <c r="M205">
        <v>2.5</v>
      </c>
      <c r="N205">
        <v>2.2999999999999998</v>
      </c>
      <c r="O205">
        <v>2.2000000000000002</v>
      </c>
      <c r="P205">
        <v>2.1</v>
      </c>
      <c r="Q205">
        <v>2.2000000000000002</v>
      </c>
      <c r="R205">
        <v>2.2999999999999998</v>
      </c>
      <c r="S205">
        <v>1.3</v>
      </c>
      <c r="U205">
        <f t="shared" si="3"/>
        <v>2.8937500000000003</v>
      </c>
    </row>
    <row r="206" spans="1:21" x14ac:dyDescent="0.45">
      <c r="A206" t="s">
        <v>305</v>
      </c>
      <c r="B206" t="s">
        <v>114</v>
      </c>
      <c r="C206">
        <v>16</v>
      </c>
      <c r="D206">
        <v>4.8</v>
      </c>
      <c r="E206">
        <v>4.7</v>
      </c>
      <c r="F206">
        <v>4.3</v>
      </c>
      <c r="G206">
        <v>3.8</v>
      </c>
      <c r="H206">
        <v>3.3</v>
      </c>
      <c r="I206">
        <v>2.7</v>
      </c>
      <c r="J206">
        <v>2.7</v>
      </c>
      <c r="K206">
        <v>2.6</v>
      </c>
      <c r="L206">
        <v>2.5</v>
      </c>
      <c r="M206">
        <v>2.5</v>
      </c>
      <c r="N206">
        <v>2.2999999999999998</v>
      </c>
      <c r="O206">
        <v>2.2000000000000002</v>
      </c>
      <c r="P206">
        <v>2.1</v>
      </c>
      <c r="Q206">
        <v>2.2000000000000002</v>
      </c>
      <c r="R206">
        <v>2.2999999999999998</v>
      </c>
      <c r="S206">
        <v>1.3</v>
      </c>
      <c r="U206">
        <f t="shared" si="3"/>
        <v>2.8937500000000003</v>
      </c>
    </row>
    <row r="207" spans="1:21" x14ac:dyDescent="0.45">
      <c r="A207" t="s">
        <v>305</v>
      </c>
      <c r="B207" t="s">
        <v>114</v>
      </c>
      <c r="C207">
        <v>17</v>
      </c>
      <c r="D207">
        <v>4.8</v>
      </c>
      <c r="E207">
        <v>4.7</v>
      </c>
      <c r="F207">
        <v>4.3</v>
      </c>
      <c r="G207">
        <v>3.8</v>
      </c>
      <c r="H207">
        <v>3.3</v>
      </c>
      <c r="I207">
        <v>2.7</v>
      </c>
      <c r="J207">
        <v>2.7</v>
      </c>
      <c r="K207">
        <v>2.6</v>
      </c>
      <c r="L207">
        <v>2.5</v>
      </c>
      <c r="M207">
        <v>2.5</v>
      </c>
      <c r="N207">
        <v>2.2999999999999998</v>
      </c>
      <c r="O207">
        <v>2.2000000000000002</v>
      </c>
      <c r="P207">
        <v>2.1</v>
      </c>
      <c r="Q207">
        <v>2.2000000000000002</v>
      </c>
      <c r="R207">
        <v>2.2999999999999998</v>
      </c>
      <c r="S207">
        <v>1.3</v>
      </c>
      <c r="U207">
        <f t="shared" si="3"/>
        <v>2.8937500000000003</v>
      </c>
    </row>
    <row r="208" spans="1:21" x14ac:dyDescent="0.45">
      <c r="A208" t="s">
        <v>305</v>
      </c>
      <c r="B208" t="s">
        <v>114</v>
      </c>
      <c r="C208">
        <v>18</v>
      </c>
      <c r="D208">
        <v>4.8</v>
      </c>
      <c r="E208">
        <v>4.7</v>
      </c>
      <c r="F208">
        <v>4.3</v>
      </c>
      <c r="G208">
        <v>3.8</v>
      </c>
      <c r="H208">
        <v>3.3</v>
      </c>
      <c r="I208">
        <v>2.7</v>
      </c>
      <c r="J208">
        <v>2.7</v>
      </c>
      <c r="K208">
        <v>2.6</v>
      </c>
      <c r="L208">
        <v>2.5</v>
      </c>
      <c r="M208">
        <v>2.5</v>
      </c>
      <c r="N208">
        <v>2.2999999999999998</v>
      </c>
      <c r="O208">
        <v>2.2000000000000002</v>
      </c>
      <c r="P208">
        <v>2.1</v>
      </c>
      <c r="Q208">
        <v>2.2000000000000002</v>
      </c>
      <c r="R208">
        <v>2.2999999999999998</v>
      </c>
      <c r="S208">
        <v>1.3</v>
      </c>
      <c r="U208">
        <f t="shared" si="3"/>
        <v>2.8937500000000003</v>
      </c>
    </row>
    <row r="209" spans="1:21" x14ac:dyDescent="0.45">
      <c r="A209" t="s">
        <v>305</v>
      </c>
      <c r="B209" t="s">
        <v>114</v>
      </c>
      <c r="C209">
        <v>19</v>
      </c>
      <c r="D209">
        <v>4.8</v>
      </c>
      <c r="E209">
        <v>4.7</v>
      </c>
      <c r="F209">
        <v>4.3</v>
      </c>
      <c r="G209">
        <v>3.8</v>
      </c>
      <c r="H209">
        <v>3.3</v>
      </c>
      <c r="I209">
        <v>2.7</v>
      </c>
      <c r="J209">
        <v>2.7</v>
      </c>
      <c r="K209">
        <v>2.6</v>
      </c>
      <c r="L209">
        <v>2.5</v>
      </c>
      <c r="M209">
        <v>2.5</v>
      </c>
      <c r="N209">
        <v>2.2999999999999998</v>
      </c>
      <c r="O209">
        <v>2.2000000000000002</v>
      </c>
      <c r="P209">
        <v>2.1</v>
      </c>
      <c r="Q209">
        <v>2.2000000000000002</v>
      </c>
      <c r="R209">
        <v>2.2999999999999998</v>
      </c>
      <c r="S209">
        <v>1.3</v>
      </c>
      <c r="U209">
        <f t="shared" si="3"/>
        <v>2.8937500000000003</v>
      </c>
    </row>
    <row r="210" spans="1:21" x14ac:dyDescent="0.45">
      <c r="A210" t="s">
        <v>305</v>
      </c>
      <c r="B210" t="s">
        <v>114</v>
      </c>
      <c r="C210">
        <v>20</v>
      </c>
      <c r="D210">
        <v>23.3</v>
      </c>
      <c r="E210">
        <v>22.4</v>
      </c>
      <c r="F210">
        <v>22.2</v>
      </c>
      <c r="G210">
        <v>19.7</v>
      </c>
      <c r="H210">
        <v>19.5</v>
      </c>
      <c r="I210">
        <v>18.7</v>
      </c>
      <c r="J210">
        <v>17</v>
      </c>
      <c r="K210">
        <v>15.1</v>
      </c>
      <c r="L210">
        <v>14.4</v>
      </c>
      <c r="M210">
        <v>12.7</v>
      </c>
      <c r="N210">
        <v>12.7</v>
      </c>
      <c r="O210">
        <v>11.7</v>
      </c>
      <c r="P210">
        <v>11.2</v>
      </c>
      <c r="Q210">
        <v>10.6</v>
      </c>
      <c r="R210">
        <v>9.8000000000000007</v>
      </c>
      <c r="S210">
        <v>8.6999999999999993</v>
      </c>
      <c r="U210">
        <f t="shared" si="3"/>
        <v>15.606249999999998</v>
      </c>
    </row>
    <row r="211" spans="1:21" x14ac:dyDescent="0.45">
      <c r="A211" t="s">
        <v>305</v>
      </c>
      <c r="B211" t="s">
        <v>114</v>
      </c>
      <c r="C211">
        <v>21</v>
      </c>
      <c r="D211">
        <v>23.3</v>
      </c>
      <c r="E211">
        <v>22.4</v>
      </c>
      <c r="F211">
        <v>22.2</v>
      </c>
      <c r="G211">
        <v>19.7</v>
      </c>
      <c r="H211">
        <v>19.5</v>
      </c>
      <c r="I211">
        <v>18.7</v>
      </c>
      <c r="J211">
        <v>17</v>
      </c>
      <c r="K211">
        <v>15.1</v>
      </c>
      <c r="L211">
        <v>14.4</v>
      </c>
      <c r="M211">
        <v>12.7</v>
      </c>
      <c r="N211">
        <v>12.7</v>
      </c>
      <c r="O211">
        <v>11.7</v>
      </c>
      <c r="P211">
        <v>11.2</v>
      </c>
      <c r="Q211">
        <v>10.6</v>
      </c>
      <c r="R211">
        <v>9.8000000000000007</v>
      </c>
      <c r="S211">
        <v>8.6999999999999993</v>
      </c>
      <c r="U211">
        <f t="shared" si="3"/>
        <v>15.606249999999998</v>
      </c>
    </row>
    <row r="212" spans="1:21" x14ac:dyDescent="0.45">
      <c r="A212" t="s">
        <v>305</v>
      </c>
      <c r="B212" t="s">
        <v>114</v>
      </c>
      <c r="C212">
        <v>22</v>
      </c>
      <c r="D212">
        <v>23.3</v>
      </c>
      <c r="E212">
        <v>22.4</v>
      </c>
      <c r="F212">
        <v>22.2</v>
      </c>
      <c r="G212">
        <v>19.7</v>
      </c>
      <c r="H212">
        <v>19.5</v>
      </c>
      <c r="I212">
        <v>18.7</v>
      </c>
      <c r="J212">
        <v>17</v>
      </c>
      <c r="K212">
        <v>15.1</v>
      </c>
      <c r="L212">
        <v>14.4</v>
      </c>
      <c r="M212">
        <v>12.7</v>
      </c>
      <c r="N212">
        <v>12.7</v>
      </c>
      <c r="O212">
        <v>11.7</v>
      </c>
      <c r="P212">
        <v>11.2</v>
      </c>
      <c r="Q212">
        <v>10.6</v>
      </c>
      <c r="R212">
        <v>9.8000000000000007</v>
      </c>
      <c r="S212">
        <v>8.6999999999999993</v>
      </c>
      <c r="U212">
        <f t="shared" si="3"/>
        <v>15.606249999999998</v>
      </c>
    </row>
    <row r="213" spans="1:21" x14ac:dyDescent="0.45">
      <c r="A213" t="s">
        <v>305</v>
      </c>
      <c r="B213" t="s">
        <v>114</v>
      </c>
      <c r="C213">
        <v>23</v>
      </c>
      <c r="D213">
        <v>23.3</v>
      </c>
      <c r="E213">
        <v>22.4</v>
      </c>
      <c r="F213">
        <v>22.2</v>
      </c>
      <c r="G213">
        <v>19.7</v>
      </c>
      <c r="H213">
        <v>19.5</v>
      </c>
      <c r="I213">
        <v>18.7</v>
      </c>
      <c r="J213">
        <v>17</v>
      </c>
      <c r="K213">
        <v>15.1</v>
      </c>
      <c r="L213">
        <v>14.4</v>
      </c>
      <c r="M213">
        <v>12.7</v>
      </c>
      <c r="N213">
        <v>12.7</v>
      </c>
      <c r="O213">
        <v>11.7</v>
      </c>
      <c r="P213">
        <v>11.2</v>
      </c>
      <c r="Q213">
        <v>10.6</v>
      </c>
      <c r="R213">
        <v>9.8000000000000007</v>
      </c>
      <c r="S213">
        <v>8.6999999999999993</v>
      </c>
      <c r="U213">
        <f t="shared" si="3"/>
        <v>15.606249999999998</v>
      </c>
    </row>
    <row r="214" spans="1:21" x14ac:dyDescent="0.45">
      <c r="A214" t="s">
        <v>305</v>
      </c>
      <c r="B214" t="s">
        <v>114</v>
      </c>
      <c r="C214">
        <v>24</v>
      </c>
      <c r="D214">
        <v>23.3</v>
      </c>
      <c r="E214">
        <v>22.4</v>
      </c>
      <c r="F214">
        <v>22.2</v>
      </c>
      <c r="G214">
        <v>19.7</v>
      </c>
      <c r="H214">
        <v>19.5</v>
      </c>
      <c r="I214">
        <v>18.7</v>
      </c>
      <c r="J214">
        <v>17</v>
      </c>
      <c r="K214">
        <v>15.1</v>
      </c>
      <c r="L214">
        <v>14.4</v>
      </c>
      <c r="M214">
        <v>12.7</v>
      </c>
      <c r="N214">
        <v>12.7</v>
      </c>
      <c r="O214">
        <v>11.7</v>
      </c>
      <c r="P214">
        <v>11.2</v>
      </c>
      <c r="Q214">
        <v>10.6</v>
      </c>
      <c r="R214">
        <v>9.8000000000000007</v>
      </c>
      <c r="S214">
        <v>8.6999999999999993</v>
      </c>
      <c r="U214">
        <f t="shared" si="3"/>
        <v>15.606249999999998</v>
      </c>
    </row>
    <row r="215" spans="1:21" x14ac:dyDescent="0.45">
      <c r="A215" t="s">
        <v>305</v>
      </c>
      <c r="B215" t="s">
        <v>114</v>
      </c>
      <c r="C215">
        <v>25</v>
      </c>
      <c r="D215">
        <v>68.099999999999994</v>
      </c>
      <c r="E215">
        <v>73.400000000000006</v>
      </c>
      <c r="F215">
        <v>76.7</v>
      </c>
      <c r="G215">
        <v>70.5</v>
      </c>
      <c r="H215">
        <v>71.099999999999994</v>
      </c>
      <c r="I215">
        <v>68.7</v>
      </c>
      <c r="J215">
        <v>65.8</v>
      </c>
      <c r="K215">
        <v>62.2</v>
      </c>
      <c r="L215">
        <v>60.6</v>
      </c>
      <c r="M215">
        <v>59.4</v>
      </c>
      <c r="N215">
        <v>54.6</v>
      </c>
      <c r="O215">
        <v>53.4</v>
      </c>
      <c r="P215">
        <v>48.8</v>
      </c>
      <c r="Q215">
        <v>43.7</v>
      </c>
      <c r="R215">
        <v>42.6</v>
      </c>
      <c r="S215">
        <v>38.1</v>
      </c>
      <c r="U215">
        <f t="shared" si="3"/>
        <v>59.856250000000003</v>
      </c>
    </row>
    <row r="216" spans="1:21" x14ac:dyDescent="0.45">
      <c r="A216" t="s">
        <v>305</v>
      </c>
      <c r="B216" t="s">
        <v>114</v>
      </c>
      <c r="C216">
        <v>26</v>
      </c>
      <c r="D216">
        <v>68.099999999999994</v>
      </c>
      <c r="E216">
        <v>73.400000000000006</v>
      </c>
      <c r="F216">
        <v>76.7</v>
      </c>
      <c r="G216">
        <v>70.5</v>
      </c>
      <c r="H216">
        <v>71.099999999999994</v>
      </c>
      <c r="I216">
        <v>68.7</v>
      </c>
      <c r="J216">
        <v>65.8</v>
      </c>
      <c r="K216">
        <v>62.2</v>
      </c>
      <c r="L216">
        <v>60.6</v>
      </c>
      <c r="M216">
        <v>59.4</v>
      </c>
      <c r="N216">
        <v>54.6</v>
      </c>
      <c r="O216">
        <v>53.4</v>
      </c>
      <c r="P216">
        <v>48.8</v>
      </c>
      <c r="Q216">
        <v>43.7</v>
      </c>
      <c r="R216">
        <v>42.6</v>
      </c>
      <c r="S216">
        <v>38.1</v>
      </c>
      <c r="U216">
        <f t="shared" si="3"/>
        <v>59.856250000000003</v>
      </c>
    </row>
    <row r="217" spans="1:21" x14ac:dyDescent="0.45">
      <c r="A217" t="s">
        <v>305</v>
      </c>
      <c r="B217" t="s">
        <v>114</v>
      </c>
      <c r="C217">
        <v>27</v>
      </c>
      <c r="D217">
        <v>68.099999999999994</v>
      </c>
      <c r="E217">
        <v>73.400000000000006</v>
      </c>
      <c r="F217">
        <v>76.7</v>
      </c>
      <c r="G217">
        <v>70.5</v>
      </c>
      <c r="H217">
        <v>71.099999999999994</v>
      </c>
      <c r="I217">
        <v>68.7</v>
      </c>
      <c r="J217">
        <v>65.8</v>
      </c>
      <c r="K217">
        <v>62.2</v>
      </c>
      <c r="L217">
        <v>60.6</v>
      </c>
      <c r="M217">
        <v>59.4</v>
      </c>
      <c r="N217">
        <v>54.6</v>
      </c>
      <c r="O217">
        <v>53.4</v>
      </c>
      <c r="P217">
        <v>48.8</v>
      </c>
      <c r="Q217">
        <v>43.7</v>
      </c>
      <c r="R217">
        <v>42.6</v>
      </c>
      <c r="S217">
        <v>38.1</v>
      </c>
      <c r="U217">
        <f t="shared" si="3"/>
        <v>59.856250000000003</v>
      </c>
    </row>
    <row r="218" spans="1:21" x14ac:dyDescent="0.45">
      <c r="A218" t="s">
        <v>305</v>
      </c>
      <c r="B218" t="s">
        <v>114</v>
      </c>
      <c r="C218">
        <v>28</v>
      </c>
      <c r="D218">
        <v>68.099999999999994</v>
      </c>
      <c r="E218">
        <v>73.400000000000006</v>
      </c>
      <c r="F218">
        <v>76.7</v>
      </c>
      <c r="G218">
        <v>70.5</v>
      </c>
      <c r="H218">
        <v>71.099999999999994</v>
      </c>
      <c r="I218">
        <v>68.7</v>
      </c>
      <c r="J218">
        <v>65.8</v>
      </c>
      <c r="K218">
        <v>62.2</v>
      </c>
      <c r="L218">
        <v>60.6</v>
      </c>
      <c r="M218">
        <v>59.4</v>
      </c>
      <c r="N218">
        <v>54.6</v>
      </c>
      <c r="O218">
        <v>53.4</v>
      </c>
      <c r="P218">
        <v>48.8</v>
      </c>
      <c r="Q218">
        <v>43.7</v>
      </c>
      <c r="R218">
        <v>42.6</v>
      </c>
      <c r="S218">
        <v>38.1</v>
      </c>
      <c r="U218">
        <f t="shared" si="3"/>
        <v>59.856250000000003</v>
      </c>
    </row>
    <row r="219" spans="1:21" x14ac:dyDescent="0.45">
      <c r="A219" t="s">
        <v>305</v>
      </c>
      <c r="B219" t="s">
        <v>114</v>
      </c>
      <c r="C219">
        <v>29</v>
      </c>
      <c r="D219">
        <v>68.099999999999994</v>
      </c>
      <c r="E219">
        <v>73.400000000000006</v>
      </c>
      <c r="F219">
        <v>76.7</v>
      </c>
      <c r="G219">
        <v>70.5</v>
      </c>
      <c r="H219">
        <v>71.099999999999994</v>
      </c>
      <c r="I219">
        <v>68.7</v>
      </c>
      <c r="J219">
        <v>65.8</v>
      </c>
      <c r="K219">
        <v>62.2</v>
      </c>
      <c r="L219">
        <v>60.6</v>
      </c>
      <c r="M219">
        <v>59.4</v>
      </c>
      <c r="N219">
        <v>54.6</v>
      </c>
      <c r="O219">
        <v>53.4</v>
      </c>
      <c r="P219">
        <v>48.8</v>
      </c>
      <c r="Q219">
        <v>43.7</v>
      </c>
      <c r="R219">
        <v>42.6</v>
      </c>
      <c r="S219">
        <v>38.1</v>
      </c>
      <c r="U219">
        <f t="shared" si="3"/>
        <v>59.856250000000003</v>
      </c>
    </row>
    <row r="220" spans="1:21" x14ac:dyDescent="0.45">
      <c r="A220" t="s">
        <v>305</v>
      </c>
      <c r="B220" t="s">
        <v>114</v>
      </c>
      <c r="C220">
        <v>30</v>
      </c>
      <c r="D220">
        <v>86</v>
      </c>
      <c r="E220">
        <v>89.5</v>
      </c>
      <c r="F220">
        <v>99.5</v>
      </c>
      <c r="G220">
        <v>90.2</v>
      </c>
      <c r="H220">
        <v>99.3</v>
      </c>
      <c r="I220">
        <v>98.5</v>
      </c>
      <c r="J220">
        <v>96.2</v>
      </c>
      <c r="K220">
        <v>93.3</v>
      </c>
      <c r="L220">
        <v>92.9</v>
      </c>
      <c r="M220">
        <v>92.4</v>
      </c>
      <c r="N220">
        <v>90.8</v>
      </c>
      <c r="O220">
        <v>92.9</v>
      </c>
      <c r="P220">
        <v>86.7</v>
      </c>
      <c r="Q220">
        <v>78.7</v>
      </c>
      <c r="R220">
        <v>79.3</v>
      </c>
      <c r="S220">
        <v>69.7</v>
      </c>
      <c r="U220">
        <f t="shared" si="3"/>
        <v>89.743750000000006</v>
      </c>
    </row>
    <row r="221" spans="1:21" x14ac:dyDescent="0.45">
      <c r="A221" t="s">
        <v>305</v>
      </c>
      <c r="B221" t="s">
        <v>114</v>
      </c>
      <c r="C221">
        <v>31</v>
      </c>
      <c r="D221">
        <v>86</v>
      </c>
      <c r="E221">
        <v>89.5</v>
      </c>
      <c r="F221">
        <v>99.5</v>
      </c>
      <c r="G221">
        <v>90.2</v>
      </c>
      <c r="H221">
        <v>99.3</v>
      </c>
      <c r="I221">
        <v>98.5</v>
      </c>
      <c r="J221">
        <v>96.2</v>
      </c>
      <c r="K221">
        <v>93.3</v>
      </c>
      <c r="L221">
        <v>92.9</v>
      </c>
      <c r="M221">
        <v>92.4</v>
      </c>
      <c r="N221">
        <v>90.8</v>
      </c>
      <c r="O221">
        <v>92.9</v>
      </c>
      <c r="P221">
        <v>86.7</v>
      </c>
      <c r="Q221">
        <v>78.7</v>
      </c>
      <c r="R221">
        <v>79.3</v>
      </c>
      <c r="S221">
        <v>69.7</v>
      </c>
      <c r="U221">
        <f t="shared" si="3"/>
        <v>89.743750000000006</v>
      </c>
    </row>
    <row r="222" spans="1:21" x14ac:dyDescent="0.45">
      <c r="A222" t="s">
        <v>305</v>
      </c>
      <c r="B222" t="s">
        <v>114</v>
      </c>
      <c r="C222">
        <v>32</v>
      </c>
      <c r="D222">
        <v>86</v>
      </c>
      <c r="E222">
        <v>89.5</v>
      </c>
      <c r="F222">
        <v>99.5</v>
      </c>
      <c r="G222">
        <v>90.2</v>
      </c>
      <c r="H222">
        <v>99.3</v>
      </c>
      <c r="I222">
        <v>98.5</v>
      </c>
      <c r="J222">
        <v>96.2</v>
      </c>
      <c r="K222">
        <v>93.3</v>
      </c>
      <c r="L222">
        <v>92.9</v>
      </c>
      <c r="M222">
        <v>92.4</v>
      </c>
      <c r="N222">
        <v>90.8</v>
      </c>
      <c r="O222">
        <v>92.9</v>
      </c>
      <c r="P222">
        <v>86.7</v>
      </c>
      <c r="Q222">
        <v>78.7</v>
      </c>
      <c r="R222">
        <v>79.3</v>
      </c>
      <c r="S222">
        <v>69.7</v>
      </c>
      <c r="U222">
        <f t="shared" si="3"/>
        <v>89.743750000000006</v>
      </c>
    </row>
    <row r="223" spans="1:21" x14ac:dyDescent="0.45">
      <c r="A223" t="s">
        <v>305</v>
      </c>
      <c r="B223" t="s">
        <v>114</v>
      </c>
      <c r="C223">
        <v>33</v>
      </c>
      <c r="D223">
        <v>86</v>
      </c>
      <c r="E223">
        <v>89.5</v>
      </c>
      <c r="F223">
        <v>99.5</v>
      </c>
      <c r="G223">
        <v>90.2</v>
      </c>
      <c r="H223">
        <v>99.3</v>
      </c>
      <c r="I223">
        <v>98.5</v>
      </c>
      <c r="J223">
        <v>96.2</v>
      </c>
      <c r="K223">
        <v>93.3</v>
      </c>
      <c r="L223">
        <v>92.9</v>
      </c>
      <c r="M223">
        <v>92.4</v>
      </c>
      <c r="N223">
        <v>90.8</v>
      </c>
      <c r="O223">
        <v>92.9</v>
      </c>
      <c r="P223">
        <v>86.7</v>
      </c>
      <c r="Q223">
        <v>78.7</v>
      </c>
      <c r="R223">
        <v>79.3</v>
      </c>
      <c r="S223">
        <v>69.7</v>
      </c>
      <c r="U223">
        <f t="shared" si="3"/>
        <v>89.743750000000006</v>
      </c>
    </row>
    <row r="224" spans="1:21" x14ac:dyDescent="0.45">
      <c r="A224" t="s">
        <v>305</v>
      </c>
      <c r="B224" t="s">
        <v>114</v>
      </c>
      <c r="C224">
        <v>34</v>
      </c>
      <c r="D224">
        <v>86</v>
      </c>
      <c r="E224">
        <v>89.5</v>
      </c>
      <c r="F224">
        <v>99.5</v>
      </c>
      <c r="G224">
        <v>90.2</v>
      </c>
      <c r="H224">
        <v>99.3</v>
      </c>
      <c r="I224">
        <v>98.5</v>
      </c>
      <c r="J224">
        <v>96.2</v>
      </c>
      <c r="K224">
        <v>93.3</v>
      </c>
      <c r="L224">
        <v>92.9</v>
      </c>
      <c r="M224">
        <v>92.4</v>
      </c>
      <c r="N224">
        <v>90.8</v>
      </c>
      <c r="O224">
        <v>92.9</v>
      </c>
      <c r="P224">
        <v>86.7</v>
      </c>
      <c r="Q224">
        <v>78.7</v>
      </c>
      <c r="R224">
        <v>79.3</v>
      </c>
      <c r="S224">
        <v>69.7</v>
      </c>
      <c r="U224">
        <f t="shared" si="3"/>
        <v>89.743750000000006</v>
      </c>
    </row>
    <row r="225" spans="1:21" x14ac:dyDescent="0.45">
      <c r="A225" t="s">
        <v>305</v>
      </c>
      <c r="B225" t="s">
        <v>114</v>
      </c>
      <c r="C225">
        <v>35</v>
      </c>
      <c r="D225">
        <v>42.2</v>
      </c>
      <c r="E225">
        <v>42.4</v>
      </c>
      <c r="F225">
        <v>46.3</v>
      </c>
      <c r="G225">
        <v>44.7</v>
      </c>
      <c r="H225">
        <v>48.3</v>
      </c>
      <c r="I225">
        <v>49.9</v>
      </c>
      <c r="J225">
        <v>49.7</v>
      </c>
      <c r="K225">
        <v>48.6</v>
      </c>
      <c r="L225">
        <v>48.4</v>
      </c>
      <c r="M225">
        <v>50.1</v>
      </c>
      <c r="N225">
        <v>49</v>
      </c>
      <c r="O225">
        <v>53.6</v>
      </c>
      <c r="P225">
        <v>49.4</v>
      </c>
      <c r="Q225">
        <v>47.9</v>
      </c>
      <c r="R225">
        <v>50</v>
      </c>
      <c r="S225">
        <v>46</v>
      </c>
      <c r="U225">
        <f t="shared" si="3"/>
        <v>47.906249999999993</v>
      </c>
    </row>
    <row r="226" spans="1:21" x14ac:dyDescent="0.45">
      <c r="A226" t="s">
        <v>305</v>
      </c>
      <c r="B226" t="s">
        <v>114</v>
      </c>
      <c r="C226">
        <v>36</v>
      </c>
      <c r="D226">
        <v>42.2</v>
      </c>
      <c r="E226">
        <v>42.4</v>
      </c>
      <c r="F226">
        <v>46.3</v>
      </c>
      <c r="G226">
        <v>44.7</v>
      </c>
      <c r="H226">
        <v>48.3</v>
      </c>
      <c r="I226">
        <v>49.9</v>
      </c>
      <c r="J226">
        <v>49.7</v>
      </c>
      <c r="K226">
        <v>48.6</v>
      </c>
      <c r="L226">
        <v>48.4</v>
      </c>
      <c r="M226">
        <v>50.1</v>
      </c>
      <c r="N226">
        <v>49</v>
      </c>
      <c r="O226">
        <v>53.6</v>
      </c>
      <c r="P226">
        <v>49.4</v>
      </c>
      <c r="Q226">
        <v>47.9</v>
      </c>
      <c r="R226">
        <v>50</v>
      </c>
      <c r="S226">
        <v>46</v>
      </c>
      <c r="U226">
        <f t="shared" si="3"/>
        <v>47.906249999999993</v>
      </c>
    </row>
    <row r="227" spans="1:21" x14ac:dyDescent="0.45">
      <c r="A227" t="s">
        <v>305</v>
      </c>
      <c r="B227" t="s">
        <v>114</v>
      </c>
      <c r="C227">
        <v>37</v>
      </c>
      <c r="D227">
        <v>42.2</v>
      </c>
      <c r="E227">
        <v>42.4</v>
      </c>
      <c r="F227">
        <v>46.3</v>
      </c>
      <c r="G227">
        <v>44.7</v>
      </c>
      <c r="H227">
        <v>48.3</v>
      </c>
      <c r="I227">
        <v>49.9</v>
      </c>
      <c r="J227">
        <v>49.7</v>
      </c>
      <c r="K227">
        <v>48.6</v>
      </c>
      <c r="L227">
        <v>48.4</v>
      </c>
      <c r="M227">
        <v>50.1</v>
      </c>
      <c r="N227">
        <v>49</v>
      </c>
      <c r="O227">
        <v>53.6</v>
      </c>
      <c r="P227">
        <v>49.4</v>
      </c>
      <c r="Q227">
        <v>47.9</v>
      </c>
      <c r="R227">
        <v>50</v>
      </c>
      <c r="S227">
        <v>46</v>
      </c>
      <c r="U227">
        <f t="shared" si="3"/>
        <v>47.906249999999993</v>
      </c>
    </row>
    <row r="228" spans="1:21" x14ac:dyDescent="0.45">
      <c r="A228" t="s">
        <v>305</v>
      </c>
      <c r="B228" t="s">
        <v>114</v>
      </c>
      <c r="C228">
        <v>38</v>
      </c>
      <c r="D228">
        <v>42.2</v>
      </c>
      <c r="E228">
        <v>42.4</v>
      </c>
      <c r="F228">
        <v>46.3</v>
      </c>
      <c r="G228">
        <v>44.7</v>
      </c>
      <c r="H228">
        <v>48.3</v>
      </c>
      <c r="I228">
        <v>49.9</v>
      </c>
      <c r="J228">
        <v>49.7</v>
      </c>
      <c r="K228">
        <v>48.6</v>
      </c>
      <c r="L228">
        <v>48.4</v>
      </c>
      <c r="M228">
        <v>50.1</v>
      </c>
      <c r="N228">
        <v>49</v>
      </c>
      <c r="O228">
        <v>53.6</v>
      </c>
      <c r="P228">
        <v>49.4</v>
      </c>
      <c r="Q228">
        <v>47.9</v>
      </c>
      <c r="R228">
        <v>50</v>
      </c>
      <c r="S228">
        <v>46</v>
      </c>
      <c r="U228">
        <f t="shared" si="3"/>
        <v>47.906249999999993</v>
      </c>
    </row>
    <row r="229" spans="1:21" x14ac:dyDescent="0.45">
      <c r="A229" t="s">
        <v>305</v>
      </c>
      <c r="B229" t="s">
        <v>114</v>
      </c>
      <c r="C229">
        <v>39</v>
      </c>
      <c r="D229">
        <v>42.2</v>
      </c>
      <c r="E229">
        <v>42.4</v>
      </c>
      <c r="F229">
        <v>46.3</v>
      </c>
      <c r="G229">
        <v>44.7</v>
      </c>
      <c r="H229">
        <v>48.3</v>
      </c>
      <c r="I229">
        <v>49.9</v>
      </c>
      <c r="J229">
        <v>49.7</v>
      </c>
      <c r="K229">
        <v>48.6</v>
      </c>
      <c r="L229">
        <v>48.4</v>
      </c>
      <c r="M229">
        <v>50.1</v>
      </c>
      <c r="N229">
        <v>49</v>
      </c>
      <c r="O229">
        <v>53.6</v>
      </c>
      <c r="P229">
        <v>49.4</v>
      </c>
      <c r="Q229">
        <v>47.9</v>
      </c>
      <c r="R229">
        <v>50</v>
      </c>
      <c r="S229">
        <v>46</v>
      </c>
      <c r="U229">
        <f t="shared" si="3"/>
        <v>47.906249999999993</v>
      </c>
    </row>
    <row r="230" spans="1:21" x14ac:dyDescent="0.45">
      <c r="A230" t="s">
        <v>305</v>
      </c>
      <c r="B230" t="s">
        <v>114</v>
      </c>
      <c r="C230">
        <v>40</v>
      </c>
      <c r="D230">
        <v>6.1</v>
      </c>
      <c r="E230">
        <v>7.2</v>
      </c>
      <c r="F230">
        <v>8</v>
      </c>
      <c r="G230">
        <v>8</v>
      </c>
      <c r="H230">
        <v>8.3000000000000007</v>
      </c>
      <c r="I230">
        <v>8.9</v>
      </c>
      <c r="J230">
        <v>8.8000000000000007</v>
      </c>
      <c r="K230">
        <v>9</v>
      </c>
      <c r="L230">
        <v>8.8000000000000007</v>
      </c>
      <c r="M230">
        <v>9.9</v>
      </c>
      <c r="N230">
        <v>9.5</v>
      </c>
      <c r="O230">
        <v>10.199999999999999</v>
      </c>
      <c r="P230">
        <v>9.8000000000000007</v>
      </c>
      <c r="Q230">
        <v>9.6</v>
      </c>
      <c r="R230">
        <v>10.199999999999999</v>
      </c>
      <c r="S230">
        <v>9.5</v>
      </c>
      <c r="U230">
        <f t="shared" si="3"/>
        <v>8.8624999999999989</v>
      </c>
    </row>
    <row r="231" spans="1:21" x14ac:dyDescent="0.45">
      <c r="A231" t="s">
        <v>305</v>
      </c>
      <c r="B231" t="s">
        <v>114</v>
      </c>
      <c r="C231">
        <v>41</v>
      </c>
      <c r="D231">
        <v>6.1</v>
      </c>
      <c r="E231">
        <v>7.2</v>
      </c>
      <c r="F231">
        <v>8</v>
      </c>
      <c r="G231">
        <v>8</v>
      </c>
      <c r="H231">
        <v>8.3000000000000007</v>
      </c>
      <c r="I231">
        <v>8.9</v>
      </c>
      <c r="J231">
        <v>8.8000000000000007</v>
      </c>
      <c r="K231">
        <v>9</v>
      </c>
      <c r="L231">
        <v>8.8000000000000007</v>
      </c>
      <c r="M231">
        <v>9.9</v>
      </c>
      <c r="N231">
        <v>9.5</v>
      </c>
      <c r="O231">
        <v>10.199999999999999</v>
      </c>
      <c r="P231">
        <v>9.8000000000000007</v>
      </c>
      <c r="Q231">
        <v>9.6</v>
      </c>
      <c r="R231">
        <v>10.199999999999999</v>
      </c>
      <c r="S231">
        <v>9.5</v>
      </c>
      <c r="U231">
        <f t="shared" si="3"/>
        <v>8.8624999999999989</v>
      </c>
    </row>
    <row r="232" spans="1:21" x14ac:dyDescent="0.45">
      <c r="A232" t="s">
        <v>305</v>
      </c>
      <c r="B232" t="s">
        <v>114</v>
      </c>
      <c r="C232">
        <v>42</v>
      </c>
      <c r="D232">
        <v>6.1</v>
      </c>
      <c r="E232">
        <v>7.2</v>
      </c>
      <c r="F232">
        <v>8</v>
      </c>
      <c r="G232">
        <v>8</v>
      </c>
      <c r="H232">
        <v>8.3000000000000007</v>
      </c>
      <c r="I232">
        <v>8.9</v>
      </c>
      <c r="J232">
        <v>8.8000000000000007</v>
      </c>
      <c r="K232">
        <v>9</v>
      </c>
      <c r="L232">
        <v>8.8000000000000007</v>
      </c>
      <c r="M232">
        <v>9.9</v>
      </c>
      <c r="N232">
        <v>9.5</v>
      </c>
      <c r="O232">
        <v>10.199999999999999</v>
      </c>
      <c r="P232">
        <v>9.8000000000000007</v>
      </c>
      <c r="Q232">
        <v>9.6</v>
      </c>
      <c r="R232">
        <v>10.199999999999999</v>
      </c>
      <c r="S232">
        <v>9.5</v>
      </c>
      <c r="U232">
        <f t="shared" si="3"/>
        <v>8.8624999999999989</v>
      </c>
    </row>
    <row r="233" spans="1:21" x14ac:dyDescent="0.45">
      <c r="A233" t="s">
        <v>305</v>
      </c>
      <c r="B233" t="s">
        <v>114</v>
      </c>
      <c r="C233">
        <v>43</v>
      </c>
      <c r="D233">
        <v>6.1</v>
      </c>
      <c r="E233">
        <v>7.2</v>
      </c>
      <c r="F233">
        <v>8</v>
      </c>
      <c r="G233">
        <v>8</v>
      </c>
      <c r="H233">
        <v>8.3000000000000007</v>
      </c>
      <c r="I233">
        <v>8.9</v>
      </c>
      <c r="J233">
        <v>8.8000000000000007</v>
      </c>
      <c r="K233">
        <v>9</v>
      </c>
      <c r="L233">
        <v>8.8000000000000007</v>
      </c>
      <c r="M233">
        <v>9.9</v>
      </c>
      <c r="N233">
        <v>9.5</v>
      </c>
      <c r="O233">
        <v>10.199999999999999</v>
      </c>
      <c r="P233">
        <v>9.8000000000000007</v>
      </c>
      <c r="Q233">
        <v>9.6</v>
      </c>
      <c r="R233">
        <v>10.199999999999999</v>
      </c>
      <c r="S233">
        <v>9.5</v>
      </c>
      <c r="U233">
        <f t="shared" si="3"/>
        <v>8.8624999999999989</v>
      </c>
    </row>
    <row r="234" spans="1:21" x14ac:dyDescent="0.45">
      <c r="A234" t="s">
        <v>305</v>
      </c>
      <c r="B234" t="s">
        <v>114</v>
      </c>
      <c r="C234">
        <v>44</v>
      </c>
      <c r="D234">
        <v>6.1</v>
      </c>
      <c r="E234">
        <v>7.2</v>
      </c>
      <c r="F234">
        <v>8</v>
      </c>
      <c r="G234">
        <v>8</v>
      </c>
      <c r="H234">
        <v>8.3000000000000007</v>
      </c>
      <c r="I234">
        <v>8.9</v>
      </c>
      <c r="J234">
        <v>8.8000000000000007</v>
      </c>
      <c r="K234">
        <v>9</v>
      </c>
      <c r="L234">
        <v>8.8000000000000007</v>
      </c>
      <c r="M234">
        <v>9.9</v>
      </c>
      <c r="N234">
        <v>9.5</v>
      </c>
      <c r="O234">
        <v>10.199999999999999</v>
      </c>
      <c r="P234">
        <v>9.8000000000000007</v>
      </c>
      <c r="Q234">
        <v>9.6</v>
      </c>
      <c r="R234">
        <v>10.199999999999999</v>
      </c>
      <c r="S234">
        <v>9.5</v>
      </c>
      <c r="U234">
        <f t="shared" si="3"/>
        <v>8.8624999999999989</v>
      </c>
    </row>
    <row r="235" spans="1:21" x14ac:dyDescent="0.45">
      <c r="A235" t="s">
        <v>305</v>
      </c>
      <c r="B235" t="s">
        <v>114</v>
      </c>
      <c r="C235">
        <v>45</v>
      </c>
      <c r="D235">
        <v>0.3</v>
      </c>
      <c r="E235">
        <v>0.3</v>
      </c>
      <c r="F235">
        <v>0.3</v>
      </c>
      <c r="G235">
        <v>0.3</v>
      </c>
      <c r="H235">
        <v>0.3</v>
      </c>
      <c r="I235">
        <v>0.4</v>
      </c>
      <c r="J235">
        <v>0.3</v>
      </c>
      <c r="K235">
        <v>0.5</v>
      </c>
      <c r="L235">
        <v>0.5</v>
      </c>
      <c r="M235">
        <v>0.4</v>
      </c>
      <c r="N235">
        <v>0.5</v>
      </c>
      <c r="O235">
        <v>0.3</v>
      </c>
      <c r="P235">
        <v>0.4</v>
      </c>
      <c r="Q235">
        <v>0.6</v>
      </c>
      <c r="R235">
        <v>0.7</v>
      </c>
      <c r="S235">
        <v>0.5</v>
      </c>
      <c r="U235">
        <f t="shared" si="3"/>
        <v>0.41249999999999998</v>
      </c>
    </row>
    <row r="236" spans="1:21" x14ac:dyDescent="0.45">
      <c r="A236" t="s">
        <v>305</v>
      </c>
      <c r="B236" t="s">
        <v>114</v>
      </c>
      <c r="C236">
        <v>46</v>
      </c>
      <c r="D236">
        <v>0.3</v>
      </c>
      <c r="E236">
        <v>0.3</v>
      </c>
      <c r="F236">
        <v>0.3</v>
      </c>
      <c r="G236">
        <v>0.3</v>
      </c>
      <c r="H236">
        <v>0.3</v>
      </c>
      <c r="I236">
        <v>0.4</v>
      </c>
      <c r="J236">
        <v>0.3</v>
      </c>
      <c r="K236">
        <v>0.5</v>
      </c>
      <c r="L236">
        <v>0.5</v>
      </c>
      <c r="M236">
        <v>0.4</v>
      </c>
      <c r="N236">
        <v>0.5</v>
      </c>
      <c r="O236">
        <v>0.3</v>
      </c>
      <c r="P236">
        <v>0.4</v>
      </c>
      <c r="Q236">
        <v>0.6</v>
      </c>
      <c r="R236">
        <v>0.7</v>
      </c>
      <c r="S236">
        <v>0.5</v>
      </c>
      <c r="U236">
        <f t="shared" si="3"/>
        <v>0.41249999999999998</v>
      </c>
    </row>
    <row r="237" spans="1:21" x14ac:dyDescent="0.45">
      <c r="A237" t="s">
        <v>305</v>
      </c>
      <c r="B237" t="s">
        <v>114</v>
      </c>
      <c r="C237">
        <v>47</v>
      </c>
      <c r="D237">
        <v>0.3</v>
      </c>
      <c r="E237">
        <v>0.3</v>
      </c>
      <c r="F237">
        <v>0.3</v>
      </c>
      <c r="G237">
        <v>0.3</v>
      </c>
      <c r="H237">
        <v>0.3</v>
      </c>
      <c r="I237">
        <v>0.4</v>
      </c>
      <c r="J237">
        <v>0.3</v>
      </c>
      <c r="K237">
        <v>0.5</v>
      </c>
      <c r="L237">
        <v>0.5</v>
      </c>
      <c r="M237">
        <v>0.4</v>
      </c>
      <c r="N237">
        <v>0.5</v>
      </c>
      <c r="O237">
        <v>0.3</v>
      </c>
      <c r="P237">
        <v>0.4</v>
      </c>
      <c r="Q237">
        <v>0.6</v>
      </c>
      <c r="R237">
        <v>0.7</v>
      </c>
      <c r="S237">
        <v>0.5</v>
      </c>
      <c r="U237">
        <f t="shared" si="3"/>
        <v>0.41249999999999998</v>
      </c>
    </row>
    <row r="238" spans="1:21" x14ac:dyDescent="0.45">
      <c r="A238" t="s">
        <v>305</v>
      </c>
      <c r="B238" t="s">
        <v>114</v>
      </c>
      <c r="C238">
        <v>48</v>
      </c>
      <c r="D238">
        <v>0.3</v>
      </c>
      <c r="E238">
        <v>0.3</v>
      </c>
      <c r="F238">
        <v>0.3</v>
      </c>
      <c r="G238">
        <v>0.3</v>
      </c>
      <c r="H238">
        <v>0.3</v>
      </c>
      <c r="I238">
        <v>0.4</v>
      </c>
      <c r="J238">
        <v>0.3</v>
      </c>
      <c r="K238">
        <v>0.5</v>
      </c>
      <c r="L238">
        <v>0.5</v>
      </c>
      <c r="M238">
        <v>0.4</v>
      </c>
      <c r="N238">
        <v>0.5</v>
      </c>
      <c r="O238">
        <v>0.3</v>
      </c>
      <c r="P238">
        <v>0.4</v>
      </c>
      <c r="Q238">
        <v>0.6</v>
      </c>
      <c r="R238">
        <v>0.7</v>
      </c>
      <c r="S238">
        <v>0.5</v>
      </c>
      <c r="U238">
        <f t="shared" si="3"/>
        <v>0.41249999999999998</v>
      </c>
    </row>
    <row r="239" spans="1:21" x14ac:dyDescent="0.45">
      <c r="A239" t="s">
        <v>305</v>
      </c>
      <c r="B239" t="s">
        <v>114</v>
      </c>
      <c r="C239">
        <v>49</v>
      </c>
      <c r="D239">
        <v>0.3</v>
      </c>
      <c r="E239">
        <v>0.3</v>
      </c>
      <c r="F239">
        <v>0.3</v>
      </c>
      <c r="G239">
        <v>0.3</v>
      </c>
      <c r="H239">
        <v>0.3</v>
      </c>
      <c r="I239">
        <v>0.4</v>
      </c>
      <c r="J239">
        <v>0.3</v>
      </c>
      <c r="K239">
        <v>0.5</v>
      </c>
      <c r="L239">
        <v>0.5</v>
      </c>
      <c r="M239">
        <v>0.4</v>
      </c>
      <c r="N239">
        <v>0.5</v>
      </c>
      <c r="O239">
        <v>0.3</v>
      </c>
      <c r="P239">
        <v>0.4</v>
      </c>
      <c r="Q239">
        <v>0.6</v>
      </c>
      <c r="R239">
        <v>0.7</v>
      </c>
      <c r="S239">
        <v>0.5</v>
      </c>
      <c r="U239">
        <f t="shared" si="3"/>
        <v>0.41249999999999998</v>
      </c>
    </row>
    <row r="240" spans="1:21" x14ac:dyDescent="0.45">
      <c r="A240" t="s">
        <v>306</v>
      </c>
      <c r="B240" t="s">
        <v>170</v>
      </c>
      <c r="C240" t="s">
        <v>303</v>
      </c>
      <c r="D240">
        <v>16476</v>
      </c>
      <c r="E240">
        <v>16887</v>
      </c>
      <c r="F240">
        <v>17273</v>
      </c>
      <c r="G240">
        <v>17810</v>
      </c>
      <c r="H240">
        <v>18237</v>
      </c>
      <c r="I240">
        <v>18640</v>
      </c>
      <c r="J240">
        <v>18856</v>
      </c>
      <c r="K240">
        <v>19763</v>
      </c>
      <c r="L240">
        <v>20095</v>
      </c>
      <c r="M240">
        <v>20288</v>
      </c>
      <c r="N240">
        <v>20985</v>
      </c>
      <c r="O240">
        <v>23270</v>
      </c>
      <c r="P240">
        <v>25586</v>
      </c>
      <c r="Q240">
        <v>25567</v>
      </c>
      <c r="R240">
        <v>25171</v>
      </c>
      <c r="S240">
        <v>25300</v>
      </c>
    </row>
    <row r="241" spans="1:19" x14ac:dyDescent="0.45">
      <c r="A241" t="s">
        <v>307</v>
      </c>
      <c r="B241" t="s">
        <v>114</v>
      </c>
      <c r="C241" t="s">
        <v>303</v>
      </c>
      <c r="D241">
        <v>0.54104443239463396</v>
      </c>
      <c r="E241">
        <v>0.53077564142271905</v>
      </c>
      <c r="F241">
        <v>0.52276567608746205</v>
      </c>
      <c r="G241">
        <v>0.51420736855092997</v>
      </c>
      <c r="H241">
        <v>0.50625530589652401</v>
      </c>
      <c r="I241">
        <v>0.50004481229689701</v>
      </c>
      <c r="J241">
        <v>0.49364306875186098</v>
      </c>
      <c r="K241">
        <v>0.48716900127629997</v>
      </c>
      <c r="L241">
        <v>0.481287451954798</v>
      </c>
      <c r="M241">
        <v>0.475648656887526</v>
      </c>
      <c r="N241">
        <v>0.46982078277253903</v>
      </c>
      <c r="O241">
        <v>0.46426759133964801</v>
      </c>
      <c r="P241">
        <v>0.45957973660446999</v>
      </c>
      <c r="Q241">
        <v>0.45352036405839902</v>
      </c>
      <c r="R241">
        <v>0.44823719980017701</v>
      </c>
      <c r="S241">
        <v>0.44211927459268702</v>
      </c>
    </row>
    <row r="242" spans="1:19" x14ac:dyDescent="0.45">
      <c r="A242" t="s">
        <v>308</v>
      </c>
      <c r="B242" t="s">
        <v>114</v>
      </c>
      <c r="C242" t="s">
        <v>303</v>
      </c>
      <c r="D242">
        <v>0.360132064055672</v>
      </c>
      <c r="E242">
        <v>0.36695641672579099</v>
      </c>
      <c r="F242">
        <v>0.36884538368627101</v>
      </c>
      <c r="G242">
        <v>0.3713211897932</v>
      </c>
      <c r="H242">
        <v>0.37299252309954201</v>
      </c>
      <c r="I242">
        <v>0.372980803217623</v>
      </c>
      <c r="J242">
        <v>0.37326730647648998</v>
      </c>
      <c r="K242">
        <v>0.37337254376434897</v>
      </c>
      <c r="L242">
        <v>0.37252513558128802</v>
      </c>
      <c r="M242">
        <v>0.37109878468145302</v>
      </c>
      <c r="N242">
        <v>0.36931677968348797</v>
      </c>
      <c r="O242">
        <v>0.365856201025899</v>
      </c>
      <c r="P242">
        <v>0.364787878409641</v>
      </c>
      <c r="Q242">
        <v>0.36463799344818898</v>
      </c>
      <c r="R242">
        <v>0.36276972315630102</v>
      </c>
      <c r="S242">
        <v>0.36144664774594998</v>
      </c>
    </row>
    <row r="243" spans="1:19" x14ac:dyDescent="0.45">
      <c r="A243" t="s">
        <v>309</v>
      </c>
      <c r="B243" t="s">
        <v>114</v>
      </c>
      <c r="C243" t="s">
        <v>303</v>
      </c>
      <c r="D243">
        <v>8.8554937014154803E-2</v>
      </c>
      <c r="E243">
        <v>9.1402705039506399E-2</v>
      </c>
      <c r="F243">
        <v>9.6798043916933502E-2</v>
      </c>
      <c r="G243">
        <v>0.102115605450821</v>
      </c>
      <c r="H243">
        <v>0.107570431569112</v>
      </c>
      <c r="I243">
        <v>0.113046823311658</v>
      </c>
      <c r="J243">
        <v>0.11847459597721099</v>
      </c>
      <c r="K243">
        <v>0.124128508281118</v>
      </c>
      <c r="L243">
        <v>0.130110451839514</v>
      </c>
      <c r="M243">
        <v>0.13620445472565201</v>
      </c>
      <c r="N243">
        <v>0.142655713051144</v>
      </c>
      <c r="O243">
        <v>0.15067698335273899</v>
      </c>
      <c r="P243">
        <v>0.156583664061963</v>
      </c>
      <c r="Q243">
        <v>0.16242782690773599</v>
      </c>
      <c r="R243">
        <v>0.16825263385500899</v>
      </c>
      <c r="S243">
        <v>0.17416766594595001</v>
      </c>
    </row>
    <row r="244" spans="1:19" x14ac:dyDescent="0.45">
      <c r="A244" t="s">
        <v>310</v>
      </c>
      <c r="B244" t="s">
        <v>114</v>
      </c>
      <c r="C244" t="s">
        <v>303</v>
      </c>
      <c r="D244">
        <v>1.0268566535537701E-2</v>
      </c>
      <c r="E244">
        <v>1.08652368119824E-2</v>
      </c>
      <c r="F244">
        <v>1.15908963093327E-2</v>
      </c>
      <c r="G244">
        <v>1.23558362050472E-2</v>
      </c>
      <c r="H244">
        <v>1.3181739434820001E-2</v>
      </c>
      <c r="I244">
        <v>1.39275611738203E-2</v>
      </c>
      <c r="J244">
        <v>1.4615028794436E-2</v>
      </c>
      <c r="K244">
        <v>1.53299466782313E-2</v>
      </c>
      <c r="L244">
        <v>1.60769606243975E-2</v>
      </c>
      <c r="M244">
        <v>1.7048103705367499E-2</v>
      </c>
      <c r="N244">
        <v>1.8206724492827502E-2</v>
      </c>
      <c r="O244">
        <v>1.9199224281713102E-2</v>
      </c>
      <c r="P244">
        <v>1.9048720923924602E-2</v>
      </c>
      <c r="Q244">
        <v>1.9413815585674302E-2</v>
      </c>
      <c r="R244">
        <v>2.0740443188511599E-2</v>
      </c>
      <c r="S244">
        <v>2.22664117154114E-2</v>
      </c>
    </row>
    <row r="245" spans="1:19" x14ac:dyDescent="0.45">
      <c r="A245" t="s">
        <v>311</v>
      </c>
      <c r="B245" t="s">
        <v>113</v>
      </c>
      <c r="C245" t="s">
        <v>303</v>
      </c>
      <c r="D245">
        <v>0.54965765477265704</v>
      </c>
      <c r="E245">
        <v>0.54029879507753498</v>
      </c>
      <c r="F245">
        <v>0.53213006490266701</v>
      </c>
      <c r="G245">
        <v>0.52382231282619496</v>
      </c>
      <c r="H245">
        <v>0.51655952186962795</v>
      </c>
      <c r="I245">
        <v>0.51081378337371597</v>
      </c>
      <c r="J245">
        <v>0.50532721507769196</v>
      </c>
      <c r="K245">
        <v>0.50003575939841804</v>
      </c>
      <c r="L245">
        <v>0.49535288710005598</v>
      </c>
      <c r="M245">
        <v>0.49075699889610003</v>
      </c>
      <c r="N245">
        <v>0.48612024134841098</v>
      </c>
      <c r="O245">
        <v>0.48330256196002802</v>
      </c>
      <c r="P245">
        <v>0.47873040660994898</v>
      </c>
      <c r="Q245">
        <v>0.47336715627166898</v>
      </c>
      <c r="R245">
        <v>0.469493809227092</v>
      </c>
      <c r="S245">
        <v>0.46501779054838899</v>
      </c>
    </row>
    <row r="246" spans="1:19" x14ac:dyDescent="0.45">
      <c r="A246" t="s">
        <v>312</v>
      </c>
      <c r="B246" t="s">
        <v>113</v>
      </c>
      <c r="C246" t="s">
        <v>303</v>
      </c>
      <c r="D246">
        <v>0.36997409642405998</v>
      </c>
      <c r="E246">
        <v>0.37610067606267</v>
      </c>
      <c r="F246">
        <v>0.37821202247178998</v>
      </c>
      <c r="G246">
        <v>0.38056805589626003</v>
      </c>
      <c r="H246">
        <v>0.38150608964418797</v>
      </c>
      <c r="I246">
        <v>0.380904379984013</v>
      </c>
      <c r="J246">
        <v>0.380212549610629</v>
      </c>
      <c r="K246">
        <v>0.37921993059074999</v>
      </c>
      <c r="L246">
        <v>0.37689675729789401</v>
      </c>
      <c r="M246">
        <v>0.373938626432048</v>
      </c>
      <c r="N246">
        <v>0.37131944683235202</v>
      </c>
      <c r="O246">
        <v>0.36641127962832598</v>
      </c>
      <c r="P246">
        <v>0.36435867133752498</v>
      </c>
      <c r="Q246">
        <v>0.36292461256776998</v>
      </c>
      <c r="R246">
        <v>0.35932674976068302</v>
      </c>
      <c r="S246">
        <v>0.35631864033747002</v>
      </c>
    </row>
    <row r="247" spans="1:19" x14ac:dyDescent="0.45">
      <c r="A247" t="s">
        <v>313</v>
      </c>
      <c r="B247" t="s">
        <v>113</v>
      </c>
      <c r="C247" t="s">
        <v>303</v>
      </c>
      <c r="D247">
        <v>7.5198279757545505E-2</v>
      </c>
      <c r="E247">
        <v>7.8114411429366704E-2</v>
      </c>
      <c r="F247">
        <v>8.3760184591227999E-2</v>
      </c>
      <c r="G247">
        <v>8.9306710427257796E-2</v>
      </c>
      <c r="H247">
        <v>9.5137746332283696E-2</v>
      </c>
      <c r="I247">
        <v>0.100976297956619</v>
      </c>
      <c r="J247">
        <v>0.10671014539322</v>
      </c>
      <c r="K247">
        <v>0.112545889084122</v>
      </c>
      <c r="L247">
        <v>0.119055872725655</v>
      </c>
      <c r="M247">
        <v>0.126012627311511</v>
      </c>
      <c r="N247">
        <v>0.13253076019086099</v>
      </c>
      <c r="O247">
        <v>0.139681554686516</v>
      </c>
      <c r="P247">
        <v>0.146253263471429</v>
      </c>
      <c r="Q247">
        <v>0.15260779206905101</v>
      </c>
      <c r="R247">
        <v>0.15911337989271501</v>
      </c>
      <c r="S247">
        <v>0.16554771657394299</v>
      </c>
    </row>
    <row r="248" spans="1:19" x14ac:dyDescent="0.45">
      <c r="A248" t="s">
        <v>314</v>
      </c>
      <c r="B248" t="s">
        <v>113</v>
      </c>
      <c r="C248" t="s">
        <v>303</v>
      </c>
      <c r="D248">
        <v>5.16996904573719E-3</v>
      </c>
      <c r="E248">
        <v>5.4861174304265603E-3</v>
      </c>
      <c r="F248">
        <v>5.8977280343140504E-3</v>
      </c>
      <c r="G248">
        <v>6.3029208502863301E-3</v>
      </c>
      <c r="H248">
        <v>6.7966421538995202E-3</v>
      </c>
      <c r="I248">
        <v>7.3055386856499998E-3</v>
      </c>
      <c r="J248">
        <v>7.7500899184566501E-3</v>
      </c>
      <c r="K248">
        <v>8.1984209267086695E-3</v>
      </c>
      <c r="L248">
        <v>8.6944828763936399E-3</v>
      </c>
      <c r="M248">
        <v>9.2917473603394297E-3</v>
      </c>
      <c r="N248">
        <v>1.0029551628373601E-2</v>
      </c>
      <c r="O248">
        <v>1.0604603725128101E-2</v>
      </c>
      <c r="P248">
        <v>1.06576585810958E-2</v>
      </c>
      <c r="Q248">
        <v>1.1100439091508801E-2</v>
      </c>
      <c r="R248">
        <v>1.2066061119508699E-2</v>
      </c>
      <c r="S248">
        <v>1.31158525401968E-2</v>
      </c>
    </row>
    <row r="249" spans="1:19" x14ac:dyDescent="0.45">
      <c r="A249" t="s">
        <v>315</v>
      </c>
      <c r="B249" t="s">
        <v>170</v>
      </c>
      <c r="C249" t="s">
        <v>303</v>
      </c>
      <c r="D249" t="s">
        <v>303</v>
      </c>
      <c r="E249">
        <v>-1761</v>
      </c>
      <c r="F249">
        <v>7586</v>
      </c>
      <c r="G249">
        <v>8675</v>
      </c>
      <c r="H249">
        <v>6258</v>
      </c>
      <c r="I249">
        <v>12730</v>
      </c>
      <c r="J249">
        <v>12850</v>
      </c>
      <c r="K249">
        <v>16556</v>
      </c>
      <c r="L249">
        <v>13542</v>
      </c>
      <c r="M249">
        <v>16884</v>
      </c>
      <c r="N249">
        <v>4753</v>
      </c>
      <c r="O249">
        <v>-68281</v>
      </c>
      <c r="P249">
        <v>79693</v>
      </c>
      <c r="Q249">
        <v>71063</v>
      </c>
      <c r="R249">
        <v>25978</v>
      </c>
      <c r="S249" t="s">
        <v>303</v>
      </c>
    </row>
    <row r="250" spans="1:19" x14ac:dyDescent="0.45">
      <c r="A250" t="s">
        <v>316</v>
      </c>
      <c r="B250" t="s">
        <v>170</v>
      </c>
      <c r="C250" t="s">
        <v>303</v>
      </c>
      <c r="D250" t="s">
        <v>303</v>
      </c>
      <c r="E250" s="48">
        <v>-6.6212018327306197E-4</v>
      </c>
      <c r="F250">
        <v>2.8698106212500601E-3</v>
      </c>
      <c r="G250">
        <v>3.30589157514015E-3</v>
      </c>
      <c r="H250">
        <v>2.4034648607522699E-3</v>
      </c>
      <c r="I250">
        <v>4.9106440234414697E-3</v>
      </c>
      <c r="J250">
        <v>4.9826537730321696E-3</v>
      </c>
      <c r="K250">
        <v>6.4371116047249504E-3</v>
      </c>
      <c r="L250">
        <v>5.2869813452560404E-3</v>
      </c>
      <c r="M250">
        <v>6.6023791088899797E-3</v>
      </c>
      <c r="N250">
        <v>1.8688186062458499E-3</v>
      </c>
      <c r="O250">
        <v>-2.7521186731016101E-2</v>
      </c>
      <c r="P250">
        <v>3.1696151582162602E-2</v>
      </c>
      <c r="Q250">
        <v>2.8037309431477302E-2</v>
      </c>
      <c r="R250">
        <v>1.02730191872696E-2</v>
      </c>
      <c r="S250" t="s">
        <v>303</v>
      </c>
    </row>
    <row r="251" spans="1:19" x14ac:dyDescent="0.45">
      <c r="A251" t="s">
        <v>317</v>
      </c>
      <c r="B251" t="s">
        <v>114</v>
      </c>
      <c r="C251" t="s">
        <v>303</v>
      </c>
      <c r="D251">
        <v>1910588</v>
      </c>
      <c r="E251">
        <v>1921081</v>
      </c>
      <c r="F251">
        <v>1938159</v>
      </c>
      <c r="G251">
        <v>1953247</v>
      </c>
      <c r="H251">
        <v>1968329</v>
      </c>
      <c r="I251">
        <v>1986062</v>
      </c>
      <c r="J251">
        <v>2004033</v>
      </c>
      <c r="K251">
        <v>2022251</v>
      </c>
      <c r="L251">
        <v>2038445</v>
      </c>
      <c r="M251">
        <v>2056827</v>
      </c>
      <c r="N251">
        <v>2066654</v>
      </c>
      <c r="O251">
        <v>2033728</v>
      </c>
      <c r="P251">
        <v>2083027</v>
      </c>
      <c r="Q251">
        <v>2127351</v>
      </c>
      <c r="R251">
        <v>2145904</v>
      </c>
      <c r="S251">
        <v>2159890</v>
      </c>
    </row>
    <row r="252" spans="1:19" x14ac:dyDescent="0.45">
      <c r="A252" t="s">
        <v>317</v>
      </c>
      <c r="B252" t="s">
        <v>113</v>
      </c>
      <c r="C252" t="s">
        <v>303</v>
      </c>
      <c r="D252">
        <v>1861133</v>
      </c>
      <c r="E252">
        <v>1868170</v>
      </c>
      <c r="F252">
        <v>1880046</v>
      </c>
      <c r="G252">
        <v>1891504</v>
      </c>
      <c r="H252">
        <v>1902410</v>
      </c>
      <c r="I252">
        <v>1916628</v>
      </c>
      <c r="J252">
        <v>1929526</v>
      </c>
      <c r="K252">
        <v>1943545</v>
      </c>
      <c r="L252">
        <v>1955838</v>
      </c>
      <c r="M252">
        <v>1969382</v>
      </c>
      <c r="N252">
        <v>1977556</v>
      </c>
      <c r="O252">
        <v>1953114</v>
      </c>
      <c r="P252">
        <v>1990212</v>
      </c>
      <c r="Q252">
        <v>2021902</v>
      </c>
      <c r="R252">
        <v>2034964</v>
      </c>
      <c r="S252">
        <v>2044625</v>
      </c>
    </row>
    <row r="253" spans="1:19" x14ac:dyDescent="0.45">
      <c r="A253" t="s">
        <v>317</v>
      </c>
      <c r="B253" t="s">
        <v>170</v>
      </c>
      <c r="C253" t="s">
        <v>303</v>
      </c>
      <c r="D253">
        <v>3771721</v>
      </c>
      <c r="E253">
        <v>3789251</v>
      </c>
      <c r="F253">
        <v>3818205</v>
      </c>
      <c r="G253">
        <v>3844751</v>
      </c>
      <c r="H253">
        <v>3870739</v>
      </c>
      <c r="I253">
        <v>3902690</v>
      </c>
      <c r="J253">
        <v>3933559</v>
      </c>
      <c r="K253">
        <v>3965796</v>
      </c>
      <c r="L253">
        <v>3994283</v>
      </c>
      <c r="M253">
        <v>4026209</v>
      </c>
      <c r="N253">
        <v>4044210</v>
      </c>
      <c r="O253">
        <v>3986842</v>
      </c>
      <c r="P253">
        <v>4073239</v>
      </c>
      <c r="Q253">
        <v>4149253</v>
      </c>
      <c r="R253">
        <v>4180868</v>
      </c>
      <c r="S253">
        <v>4204515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0. Notes</vt:lpstr>
      <vt:lpstr>1. Frailty_inputs_do_not_edit</vt:lpstr>
      <vt:lpstr>2. Time_series_do_not_edit</vt:lpstr>
      <vt:lpstr>2 Resident Population</vt:lpstr>
      <vt:lpstr>3. Frail population</vt:lpstr>
      <vt:lpstr>4. Frailty screening</vt:lpstr>
      <vt:lpstr>5a. Prevalence 1</vt:lpstr>
      <vt:lpstr>5b. Prevalence 2</vt:lpstr>
      <vt:lpstr>5c. Prevalence 3</vt:lpstr>
      <vt:lpstr>5d. Prevalence 4</vt:lpstr>
      <vt:lpstr>5e. Prevalence 5</vt:lpstr>
      <vt:lpstr>5f. Prevalence 6</vt:lpstr>
      <vt:lpstr>ohca_population_wide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2026-03-05T13:40:25Z</dcterms:created>
  <dcterms:modified xsi:type="dcterms:W3CDTF">2026-06-26T01:58:06Z</dcterms:modified>
</cp:coreProperties>
</file>